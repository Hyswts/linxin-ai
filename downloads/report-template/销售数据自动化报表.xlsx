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数据总览" sheetId="1" state="visible" r:id="rId1"/>
    <sheet name="📋 销售明细" sheetId="2" state="visible" r:id="rId2"/>
    <sheet name="🗺️ 区域分析" sheetId="3" state="visible" r:id="rId3"/>
    <sheet name="📦 产品分析" sheetId="4" state="visible" r:id="rId4"/>
    <sheet name="📱 渠道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8">
    <font>
      <name val="Calibri"/>
      <family val="2"/>
      <color theme="1"/>
      <sz val="11"/>
      <scheme val="minor"/>
    </font>
    <font>
      <name val="微软雅黑"/>
      <b val="1"/>
      <color rgb="001A2E23"/>
      <sz val="16"/>
    </font>
    <font>
      <name val="微软雅黑"/>
      <color rgb="007CA892"/>
      <sz val="10"/>
    </font>
    <font>
      <name val="微软雅黑"/>
      <b val="1"/>
      <color rgb="0015803D"/>
      <sz val="24"/>
    </font>
    <font>
      <name val="微软雅黑"/>
      <color rgb="004A6B5A"/>
      <sz val="10"/>
    </font>
    <font>
      <name val="微软雅黑"/>
      <b val="1"/>
      <color rgb="001A2E23"/>
      <sz val="10"/>
    </font>
    <font>
      <name val="微软雅黑"/>
      <b val="1"/>
      <color rgb="00FFFFFF"/>
      <sz val="12"/>
    </font>
    <font>
      <name val="微软雅黑"/>
      <color rgb="001A2E23"/>
      <sz val="10"/>
    </font>
  </fonts>
  <fills count="6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FFFFFF"/>
        <bgColor rgb="00FFFFFF"/>
      </patternFill>
    </fill>
    <fill>
      <patternFill patternType="solid">
        <fgColor rgb="0015803D"/>
        <bgColor rgb="0015803D"/>
      </patternFill>
    </fill>
    <fill>
      <patternFill patternType="solid">
        <fgColor rgb="00F8FAF9"/>
        <bgColor rgb="00F8FAF9"/>
      </patternFill>
    </fill>
  </fills>
  <borders count="5">
    <border>
      <left/>
      <right/>
      <top/>
      <bottom/>
      <diagonal/>
    </border>
    <border>
      <left style="thin">
        <color rgb="00D1E7DD"/>
      </left>
      <right style="thin">
        <color rgb="00D1E7DD"/>
      </right>
      <top style="thin">
        <color rgb="00D1E7DD"/>
      </top>
      <bottom style="thin">
        <color rgb="00D1E7DD"/>
      </bottom>
    </border>
    <border>
      <left/>
      <right/>
      <top style="thin">
        <color rgb="00D1E7DD"/>
      </top>
      <bottom/>
      <diagonal/>
    </border>
    <border>
      <left/>
      <right style="thin">
        <color rgb="00D1E7DD"/>
      </right>
      <top style="thin">
        <color rgb="00D1E7DD"/>
      </top>
      <bottom/>
      <diagonal/>
    </border>
    <border>
      <left/>
      <right style="thin">
        <color rgb="00D1E7DD"/>
      </right>
      <top style="thin">
        <color rgb="00D1E7DD"/>
      </top>
      <bottom style="thin">
        <color rgb="00D1E7D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3" borderId="1" pivotButton="0" quotePrefix="0" xfId="0"/>
    <xf numFmtId="164" fontId="3" fillId="2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right" vertical="center"/>
    </xf>
    <xf numFmtId="3" fontId="7" fillId="3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月度销售额趋势</a:t>
            </a:r>
          </a:p>
        </rich>
      </tx>
    </title>
    <plotArea>
      <lineChart>
        <grouping val="standard"/>
        <ser>
          <idx val="0"/>
          <order val="0"/>
          <tx>
            <strRef>
              <f>'📊 数据总览'!C11</f>
            </strRef>
          </tx>
          <spPr>
            <a:ln w="28000">
              <a:solidFill>
                <a:srgbClr val="22C55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数据总览'!$B$12:$B$15</f>
            </numRef>
          </cat>
          <val>
            <numRef>
              <f>'📊 数据总览'!$C$12:$C$15</f>
            </numRef>
          </val>
        </ser>
        <ser>
          <idx val="1"/>
          <order val="1"/>
          <tx>
            <strRef>
              <f>'📊 数据总览'!D11</f>
            </strRef>
          </tx>
          <spPr>
            <a:ln>
              <a:solidFill>
                <a:srgbClr val="F59E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数据总览'!$B$12:$B$15</f>
            </numRef>
          </cat>
          <val>
            <numRef>
              <f>'📊 数据总览'!$D$12:$D$15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销售额 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产品销售额占比</a:t>
            </a:r>
          </a:p>
        </rich>
      </tx>
    </title>
    <plotArea>
      <pieChart>
        <varyColors val="1"/>
        <ser>
          <idx val="0"/>
          <order val="0"/>
          <tx>
            <strRef>
              <f>'📊 数据总览'!K11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16A34A"/>
              </a:solidFill>
              <a:ln>
                <a:prstDash val="solid"/>
              </a:ln>
            </spPr>
          </dPt>
          <dPt>
            <idx val="2"/>
            <spPr>
              <a:solidFill>
                <a:srgbClr val="15803D"/>
              </a:solidFill>
              <a:ln>
                <a:prstDash val="solid"/>
              </a:ln>
            </spPr>
          </dPt>
          <dPt>
            <idx val="3"/>
            <spPr>
              <a:solidFill>
                <a:srgbClr val="166534"/>
              </a:solidFill>
              <a:ln>
                <a:prstDash val="solid"/>
              </a:ln>
            </spPr>
          </dPt>
          <dPt>
            <idx val="4"/>
            <spPr>
              <a:solidFill>
                <a:srgbClr val="4ADE80"/>
              </a:solidFill>
              <a:ln>
                <a:prstDash val="solid"/>
              </a:ln>
            </spPr>
          </dPt>
          <dPt>
            <idx val="5"/>
            <spPr>
              <a:solidFill>
                <a:srgbClr val="86EFAC"/>
              </a:solidFill>
              <a:ln>
                <a:prstDash val="solid"/>
              </a:ln>
            </spPr>
          </dPt>
          <cat>
            <numRef>
              <f>'📊 数据总览'!$J$12:$J$17</f>
            </numRef>
          </cat>
          <val>
            <numRef>
              <f>'📊 数据总览'!$K$12:$K$17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各区域销售额对比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'🗺️ 区域分析'!B3</f>
            </strRef>
          </tx>
          <spPr>
            <a:solidFill>
              <a:srgbClr val="22C55E"/>
            </a:solidFill>
            <a:ln>
              <a:prstDash val="solid"/>
            </a:ln>
          </spPr>
          <cat>
            <numRef>
              <f>'🗺️ 区域分析'!$A$4:$A$8</f>
            </numRef>
          </cat>
          <val>
            <numRef>
              <f>'🗺️ 区域分析'!$B$4:$B$8</f>
            </numRef>
          </val>
        </ser>
        <ser>
          <idx val="1"/>
          <order val="1"/>
          <tx>
            <strRef>
              <f>'🗺️ 区域分析'!C3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'🗺️ 区域分析'!$A$4:$A$8</f>
            </numRef>
          </cat>
          <val>
            <numRef>
              <f>'🗺️ 区域分析'!$C$4:$C$8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各产品销售额对比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'📦 产品分析'!B3</f>
            </strRef>
          </tx>
          <spPr>
            <a:solidFill>
              <a:srgbClr val="22C55E"/>
            </a:solidFill>
            <a:ln>
              <a:prstDash val="solid"/>
            </a:ln>
          </spPr>
          <cat>
            <numRef>
              <f>'📦 产品分析'!$A$4:$A$9</f>
            </numRef>
          </cat>
          <val>
            <numRef>
              <f>'📦 产品分析'!$B$4:$B$9</f>
            </numRef>
          </val>
        </ser>
        <ser>
          <idx val="1"/>
          <order val="1"/>
          <tx>
            <strRef>
              <f>'📦 产品分析'!C3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'📦 产品分析'!$A$4:$A$9</f>
            </numRef>
          </cat>
          <val>
            <numRef>
              <f>'📦 产品分析'!$C$4:$C$9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各渠道销售额对比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'📱 渠道分析'!B3</f>
            </strRef>
          </tx>
          <spPr>
            <a:solidFill>
              <a:srgbClr val="22C55E"/>
            </a:solidFill>
            <a:ln>
              <a:prstDash val="solid"/>
            </a:ln>
          </spPr>
          <cat>
            <numRef>
              <f>'📱 渠道分析'!$A$4:$A$8</f>
            </numRef>
          </cat>
          <val>
            <numRef>
              <f>'📱 渠道分析'!$B$4:$B$8</f>
            </numRef>
          </val>
        </ser>
        <ser>
          <idx val="1"/>
          <order val="1"/>
          <tx>
            <strRef>
              <f>'📱 渠道分析'!C3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'📱 渠道分析'!$A$4:$A$8</f>
            </numRef>
          </cat>
          <val>
            <numRef>
              <f>'📱 渠道分析'!$C$4:$C$8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17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22C55E"/>
    <outlinePr summaryBelow="1" summaryRight="1"/>
    <pageSetUpPr/>
  </sheetPr>
  <dimension ref="B2:K17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  <col width="16" customWidth="1" min="8" max="8"/>
    <col width="2" customWidth="1" min="9" max="9"/>
    <col width="14" customWidth="1" min="10" max="10"/>
    <col width="18" customWidth="1" min="11" max="11"/>
    <col width="18" customWidth="1" min="12" max="12"/>
  </cols>
  <sheetData>
    <row r="2">
      <c r="B2" s="1" t="inlineStr">
        <is>
          <t>销售数据自动化报表</t>
        </is>
      </c>
    </row>
    <row r="3">
      <c r="B3" s="2" t="inlineStr">
        <is>
          <t>自动生成 · 2026年04月26日 · 林昕AI</t>
        </is>
      </c>
    </row>
    <row r="5">
      <c r="B5" s="3" t="n"/>
      <c r="C5" s="4" t="n"/>
      <c r="D5" s="5" t="n"/>
      <c r="E5" s="4" t="n"/>
      <c r="F5" s="3" t="n"/>
      <c r="G5" s="4" t="n"/>
      <c r="H5" s="5" t="n"/>
      <c r="I5" s="4" t="n"/>
      <c r="J5" s="3" t="n"/>
      <c r="K5" s="4" t="n"/>
    </row>
    <row r="6">
      <c r="B6" s="6" t="n">
        <v>895375.99</v>
      </c>
      <c r="C6" s="4" t="n"/>
      <c r="D6" s="7" t="n">
        <v>526513.2</v>
      </c>
      <c r="E6" s="4" t="n"/>
      <c r="F6" s="8" t="n">
        <v>200</v>
      </c>
      <c r="G6" s="4" t="n"/>
      <c r="H6" s="7" t="n">
        <v>4476.87995</v>
      </c>
      <c r="I6" s="4" t="n"/>
      <c r="J6" s="9" t="n">
        <v>0.5880358708300856</v>
      </c>
      <c r="K6" s="4" t="n"/>
    </row>
    <row r="7">
      <c r="B7" s="10" t="inlineStr">
        <is>
          <t>总销售额</t>
        </is>
      </c>
      <c r="C7" s="4" t="n"/>
      <c r="D7" s="11" t="inlineStr">
        <is>
          <t>总利润</t>
        </is>
      </c>
      <c r="E7" s="4" t="n"/>
      <c r="F7" s="10" t="inlineStr">
        <is>
          <t>订单数</t>
        </is>
      </c>
      <c r="G7" s="4" t="n"/>
      <c r="H7" s="11" t="inlineStr">
        <is>
          <t>客单价</t>
        </is>
      </c>
      <c r="I7" s="4" t="n"/>
      <c r="J7" s="10" t="inlineStr">
        <is>
          <t>利润率</t>
        </is>
      </c>
      <c r="K7" s="4" t="n"/>
    </row>
    <row r="10">
      <c r="B10" s="12" t="inlineStr">
        <is>
          <t>📈 月度趋势</t>
        </is>
      </c>
    </row>
    <row r="11">
      <c r="B11" s="13" t="inlineStr">
        <is>
          <t>月份</t>
        </is>
      </c>
      <c r="C11" s="13" t="inlineStr">
        <is>
          <t>销售额</t>
        </is>
      </c>
      <c r="D11" s="13" t="inlineStr">
        <is>
          <t>利润</t>
        </is>
      </c>
      <c r="E11" s="13" t="inlineStr">
        <is>
          <t>订单数</t>
        </is>
      </c>
      <c r="F11" s="13" t="inlineStr">
        <is>
          <t>客单价</t>
        </is>
      </c>
      <c r="G11" s="13" t="inlineStr">
        <is>
          <t>利润率</t>
        </is>
      </c>
      <c r="J11" s="2" t="inlineStr">
        <is>
          <t>产品</t>
        </is>
      </c>
      <c r="K11" s="2" t="inlineStr">
        <is>
          <t>销售额</t>
        </is>
      </c>
    </row>
    <row r="12">
      <c r="B12" s="14" t="inlineStr">
        <is>
          <t>2026-01</t>
        </is>
      </c>
      <c r="C12" s="15" t="n">
        <v>298960.71</v>
      </c>
      <c r="D12" s="15" t="n">
        <v>175335.32</v>
      </c>
      <c r="E12" s="16" t="n">
        <v>65</v>
      </c>
      <c r="F12" s="15" t="n">
        <v>4599.395538461539</v>
      </c>
      <c r="G12" s="17" t="n">
        <v>0.5864828190968639</v>
      </c>
      <c r="J12" t="inlineStr">
        <is>
          <t>USB-C扩展坞</t>
        </is>
      </c>
      <c r="K12" s="18" t="n">
        <v>132358.74</v>
      </c>
    </row>
    <row r="13">
      <c r="B13" s="19" t="inlineStr">
        <is>
          <t>2026-02</t>
        </is>
      </c>
      <c r="C13" s="20" t="n">
        <v>223996.09</v>
      </c>
      <c r="D13" s="20" t="n">
        <v>130273.38</v>
      </c>
      <c r="E13" s="21" t="n">
        <v>61</v>
      </c>
      <c r="F13" s="20" t="n">
        <v>3672.067049180328</v>
      </c>
      <c r="G13" s="22" t="n">
        <v>0.5815877411074453</v>
      </c>
      <c r="J13" t="inlineStr">
        <is>
          <t>便携充电宝</t>
        </is>
      </c>
      <c r="K13" s="18" t="n">
        <v>92293.74000000001</v>
      </c>
    </row>
    <row r="14">
      <c r="B14" s="14" t="inlineStr">
        <is>
          <t>2026-03</t>
        </is>
      </c>
      <c r="C14" s="15" t="n">
        <v>371565.59</v>
      </c>
      <c r="D14" s="15" t="n">
        <v>220306.98</v>
      </c>
      <c r="E14" s="16" t="n">
        <v>73</v>
      </c>
      <c r="F14" s="15" t="n">
        <v>5089.939589041096</v>
      </c>
      <c r="G14" s="17" t="n">
        <v>0.5929154526930225</v>
      </c>
      <c r="J14" t="inlineStr">
        <is>
          <t>手机壳套装</t>
        </is>
      </c>
      <c r="K14" s="18" t="n">
        <v>49799.41</v>
      </c>
    </row>
    <row r="15">
      <c r="B15" s="19" t="inlineStr">
        <is>
          <t>2026-04</t>
        </is>
      </c>
      <c r="C15" s="20" t="n">
        <v>853.6</v>
      </c>
      <c r="D15" s="20" t="n">
        <v>597.52</v>
      </c>
      <c r="E15" s="21" t="n">
        <v>1</v>
      </c>
      <c r="F15" s="20" t="n">
        <v>853.6</v>
      </c>
      <c r="G15" s="22" t="n">
        <v>0.7</v>
      </c>
      <c r="J15" t="inlineStr">
        <is>
          <t>无线蓝牙耳机</t>
        </is>
      </c>
      <c r="K15" s="18" t="n">
        <v>99403.37</v>
      </c>
    </row>
    <row r="16">
      <c r="J16" t="inlineStr">
        <is>
          <t>智能手表</t>
        </is>
      </c>
      <c r="K16" s="18" t="n">
        <v>314522.79</v>
      </c>
    </row>
    <row r="17">
      <c r="J17" t="inlineStr">
        <is>
          <t>机械键盘</t>
        </is>
      </c>
      <c r="K17" s="18" t="n">
        <v>206997.94</v>
      </c>
    </row>
  </sheetData>
  <mergeCells count="18">
    <mergeCell ref="D6:E6"/>
    <mergeCell ref="B6:C6"/>
    <mergeCell ref="D7:E7"/>
    <mergeCell ref="B7:C7"/>
    <mergeCell ref="H6:I6"/>
    <mergeCell ref="J5:K5"/>
    <mergeCell ref="J6:K6"/>
    <mergeCell ref="B5:C5"/>
    <mergeCell ref="H7:I7"/>
    <mergeCell ref="F5:G5"/>
    <mergeCell ref="D5:E5"/>
    <mergeCell ref="J7:K7"/>
    <mergeCell ref="B2:H2"/>
    <mergeCell ref="F6:G6"/>
    <mergeCell ref="H5:I5"/>
    <mergeCell ref="B10:H10"/>
    <mergeCell ref="B3:H3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  <col width="16" customWidth="1" min="9" max="9"/>
    <col width="16" customWidth="1" min="10" max="10"/>
    <col width="12" customWidth="1" min="11" max="11"/>
  </cols>
  <sheetData>
    <row r="1">
      <c r="A1" s="23" t="inlineStr">
        <is>
          <t>销售明细数据</t>
        </is>
      </c>
    </row>
    <row r="3">
      <c r="A3" s="13" t="inlineStr">
        <is>
          <t>日期</t>
        </is>
      </c>
      <c r="B3" s="13" t="inlineStr">
        <is>
          <t>产品</t>
        </is>
      </c>
      <c r="C3" s="13" t="inlineStr">
        <is>
          <t>区域</t>
        </is>
      </c>
      <c r="D3" s="13" t="inlineStr">
        <is>
          <t>渠道</t>
        </is>
      </c>
      <c r="E3" s="13" t="inlineStr">
        <is>
          <t>客户类型</t>
        </is>
      </c>
      <c r="F3" s="13" t="inlineStr">
        <is>
          <t>单价</t>
        </is>
      </c>
      <c r="G3" s="13" t="inlineStr">
        <is>
          <t>数量</t>
        </is>
      </c>
      <c r="H3" s="13" t="inlineStr">
        <is>
          <t>销售额</t>
        </is>
      </c>
      <c r="I3" s="13" t="inlineStr">
        <is>
          <t>成本</t>
        </is>
      </c>
      <c r="J3" s="13" t="inlineStr">
        <is>
          <t>利润</t>
        </is>
      </c>
      <c r="K3" s="13" t="inlineStr">
        <is>
          <t>利润率</t>
        </is>
      </c>
    </row>
    <row r="4">
      <c r="A4" s="24" t="inlineStr">
        <is>
          <t>2026-04-01</t>
        </is>
      </c>
      <c r="B4" s="24" t="inlineStr">
        <is>
          <t>手机壳套装</t>
        </is>
      </c>
      <c r="C4" s="24" t="inlineStr">
        <is>
          <t>华南</t>
        </is>
      </c>
      <c r="D4" s="24" t="inlineStr">
        <is>
          <t>拼多多</t>
        </is>
      </c>
      <c r="E4" s="24" t="inlineStr">
        <is>
          <t>VIP</t>
        </is>
      </c>
      <c r="F4" s="25" t="n">
        <v>53.35</v>
      </c>
      <c r="G4" s="26" t="n">
        <v>16</v>
      </c>
      <c r="H4" s="25" t="n">
        <v>853.6</v>
      </c>
      <c r="I4" s="25" t="n">
        <v>256.08</v>
      </c>
      <c r="J4" s="25" t="n">
        <v>597.52</v>
      </c>
      <c r="K4" s="27" t="n">
        <v>0.7</v>
      </c>
    </row>
    <row r="5">
      <c r="A5" s="19" t="inlineStr">
        <is>
          <t>2026-03-31</t>
        </is>
      </c>
      <c r="B5" s="19" t="inlineStr">
        <is>
          <t>便携充电宝</t>
        </is>
      </c>
      <c r="C5" s="19" t="inlineStr">
        <is>
          <t>华中</t>
        </is>
      </c>
      <c r="D5" s="19" t="inlineStr">
        <is>
          <t>京东</t>
        </is>
      </c>
      <c r="E5" s="19" t="inlineStr">
        <is>
          <t>VIP</t>
        </is>
      </c>
      <c r="F5" s="28" t="n">
        <v>102.64</v>
      </c>
      <c r="G5" s="29" t="n">
        <v>48</v>
      </c>
      <c r="H5" s="28" t="n">
        <v>4926.72</v>
      </c>
      <c r="I5" s="28" t="n">
        <v>2463.36</v>
      </c>
      <c r="J5" s="28" t="n">
        <v>2463.36</v>
      </c>
      <c r="K5" s="22" t="n">
        <v>0.5</v>
      </c>
    </row>
    <row r="6">
      <c r="A6" s="14" t="inlineStr">
        <is>
          <t>2026-03-31</t>
        </is>
      </c>
      <c r="B6" s="14" t="inlineStr">
        <is>
          <t>机械键盘</t>
        </is>
      </c>
      <c r="C6" s="14" t="inlineStr">
        <is>
          <t>华中</t>
        </is>
      </c>
      <c r="D6" s="14" t="inlineStr">
        <is>
          <t>京东</t>
        </is>
      </c>
      <c r="E6" s="14" t="inlineStr">
        <is>
          <t>新客</t>
        </is>
      </c>
      <c r="F6" s="30" t="n">
        <v>188.77</v>
      </c>
      <c r="G6" s="31" t="n">
        <v>42</v>
      </c>
      <c r="H6" s="30" t="n">
        <v>7928.34</v>
      </c>
      <c r="I6" s="30" t="n">
        <v>3329.9</v>
      </c>
      <c r="J6" s="30" t="n">
        <v>4598.44</v>
      </c>
      <c r="K6" s="17" t="n">
        <v>0.5800003531634617</v>
      </c>
    </row>
    <row r="7">
      <c r="A7" s="24" t="inlineStr">
        <is>
          <t>2026-03-29</t>
        </is>
      </c>
      <c r="B7" s="24" t="inlineStr">
        <is>
          <t>USB-C扩展坞</t>
        </is>
      </c>
      <c r="C7" s="24" t="inlineStr">
        <is>
          <t>华南</t>
        </is>
      </c>
      <c r="D7" s="24" t="inlineStr">
        <is>
          <t>拼多多</t>
        </is>
      </c>
      <c r="E7" s="24" t="inlineStr">
        <is>
          <t>老客</t>
        </is>
      </c>
      <c r="F7" s="25" t="n">
        <v>79.19</v>
      </c>
      <c r="G7" s="26" t="n">
        <v>35</v>
      </c>
      <c r="H7" s="25" t="n">
        <v>2771.65</v>
      </c>
      <c r="I7" s="25" t="n">
        <v>1053.23</v>
      </c>
      <c r="J7" s="25" t="n">
        <v>1718.42</v>
      </c>
      <c r="K7" s="27" t="n">
        <v>0.6199989176122527</v>
      </c>
    </row>
    <row r="8">
      <c r="A8" s="14" t="inlineStr">
        <is>
          <t>2026-03-29</t>
        </is>
      </c>
      <c r="B8" s="14" t="inlineStr">
        <is>
          <t>无线蓝牙耳机</t>
        </is>
      </c>
      <c r="C8" s="14" t="inlineStr">
        <is>
          <t>华南</t>
        </is>
      </c>
      <c r="D8" s="14" t="inlineStr">
        <is>
          <t>抖音</t>
        </is>
      </c>
      <c r="E8" s="14" t="inlineStr">
        <is>
          <t>老客</t>
        </is>
      </c>
      <c r="F8" s="30" t="n">
        <v>187.88</v>
      </c>
      <c r="G8" s="31" t="n">
        <v>14</v>
      </c>
      <c r="H8" s="30" t="n">
        <v>2630.32</v>
      </c>
      <c r="I8" s="30" t="n">
        <v>1183.64</v>
      </c>
      <c r="J8" s="30" t="n">
        <v>1446.68</v>
      </c>
      <c r="K8" s="17" t="n">
        <v>0.5500015207275161</v>
      </c>
    </row>
    <row r="9">
      <c r="A9" s="19" t="inlineStr">
        <is>
          <t>2026-03-29</t>
        </is>
      </c>
      <c r="B9" s="19" t="inlineStr">
        <is>
          <t>机械键盘</t>
        </is>
      </c>
      <c r="C9" s="19" t="inlineStr">
        <is>
          <t>华北</t>
        </is>
      </c>
      <c r="D9" s="19" t="inlineStr">
        <is>
          <t>淘宝</t>
        </is>
      </c>
      <c r="E9" s="19" t="inlineStr">
        <is>
          <t>VIP</t>
        </is>
      </c>
      <c r="F9" s="28" t="n">
        <v>162.68</v>
      </c>
      <c r="G9" s="29" t="n">
        <v>41</v>
      </c>
      <c r="H9" s="28" t="n">
        <v>6669.88</v>
      </c>
      <c r="I9" s="28" t="n">
        <v>2801.35</v>
      </c>
      <c r="J9" s="28" t="n">
        <v>3868.53</v>
      </c>
      <c r="K9" s="22" t="n">
        <v>0.5799999400289061</v>
      </c>
    </row>
    <row r="10">
      <c r="A10" s="24" t="inlineStr">
        <is>
          <t>2026-03-29</t>
        </is>
      </c>
      <c r="B10" s="24" t="inlineStr">
        <is>
          <t>手机壳套装</t>
        </is>
      </c>
      <c r="C10" s="24" t="inlineStr">
        <is>
          <t>华北</t>
        </is>
      </c>
      <c r="D10" s="24" t="inlineStr">
        <is>
          <t>抖音</t>
        </is>
      </c>
      <c r="E10" s="24" t="inlineStr">
        <is>
          <t>新客</t>
        </is>
      </c>
      <c r="F10" s="25" t="n">
        <v>56.53</v>
      </c>
      <c r="G10" s="26" t="n">
        <v>15</v>
      </c>
      <c r="H10" s="25" t="n">
        <v>847.95</v>
      </c>
      <c r="I10" s="25" t="n">
        <v>254.38</v>
      </c>
      <c r="J10" s="25" t="n">
        <v>593.5700000000001</v>
      </c>
      <c r="K10" s="27" t="n">
        <v>0.7000058965740905</v>
      </c>
    </row>
    <row r="11">
      <c r="A11" s="19" t="inlineStr">
        <is>
          <t>2026-03-28</t>
        </is>
      </c>
      <c r="B11" s="19" t="inlineStr">
        <is>
          <t>智能手表</t>
        </is>
      </c>
      <c r="C11" s="19" t="inlineStr">
        <is>
          <t>华南</t>
        </is>
      </c>
      <c r="D11" s="19" t="inlineStr">
        <is>
          <t>京东</t>
        </is>
      </c>
      <c r="E11" s="19" t="inlineStr">
        <is>
          <t>新客</t>
        </is>
      </c>
      <c r="F11" s="28" t="n">
        <v>319.56</v>
      </c>
      <c r="G11" s="29" t="n">
        <v>5</v>
      </c>
      <c r="H11" s="28" t="n">
        <v>1597.8</v>
      </c>
      <c r="I11" s="28" t="n">
        <v>639.12</v>
      </c>
      <c r="J11" s="28" t="n">
        <v>958.6799999999999</v>
      </c>
      <c r="K11" s="22" t="n">
        <v>0.6</v>
      </c>
    </row>
    <row r="12">
      <c r="A12" s="14" t="inlineStr">
        <is>
          <t>2026-03-28</t>
        </is>
      </c>
      <c r="B12" s="14" t="inlineStr">
        <is>
          <t>便携充电宝</t>
        </is>
      </c>
      <c r="C12" s="14" t="inlineStr">
        <is>
          <t>华中</t>
        </is>
      </c>
      <c r="D12" s="14" t="inlineStr">
        <is>
          <t>拼多多</t>
        </is>
      </c>
      <c r="E12" s="14" t="inlineStr">
        <is>
          <t>新客</t>
        </is>
      </c>
      <c r="F12" s="30" t="n">
        <v>100.32</v>
      </c>
      <c r="G12" s="31" t="n">
        <v>26</v>
      </c>
      <c r="H12" s="30" t="n">
        <v>2608.32</v>
      </c>
      <c r="I12" s="30" t="n">
        <v>1304.16</v>
      </c>
      <c r="J12" s="30" t="n">
        <v>1304.16</v>
      </c>
      <c r="K12" s="17" t="n">
        <v>0.5</v>
      </c>
    </row>
    <row r="13">
      <c r="A13" s="19" t="inlineStr">
        <is>
          <t>2026-03-28</t>
        </is>
      </c>
      <c r="B13" s="19" t="inlineStr">
        <is>
          <t>无线蓝牙耳机</t>
        </is>
      </c>
      <c r="C13" s="19" t="inlineStr">
        <is>
          <t>西南</t>
        </is>
      </c>
      <c r="D13" s="19" t="inlineStr">
        <is>
          <t>私域</t>
        </is>
      </c>
      <c r="E13" s="19" t="inlineStr">
        <is>
          <t>老客</t>
        </is>
      </c>
      <c r="F13" s="28" t="n">
        <v>104.48</v>
      </c>
      <c r="G13" s="29" t="n">
        <v>15</v>
      </c>
      <c r="H13" s="28" t="n">
        <v>1567.2</v>
      </c>
      <c r="I13" s="28" t="n">
        <v>705.24</v>
      </c>
      <c r="J13" s="28" t="n">
        <v>861.96</v>
      </c>
      <c r="K13" s="22" t="n">
        <v>0.55</v>
      </c>
    </row>
    <row r="14">
      <c r="A14" s="24" t="inlineStr">
        <is>
          <t>2026-03-27</t>
        </is>
      </c>
      <c r="B14" s="24" t="inlineStr">
        <is>
          <t>手机壳套装</t>
        </is>
      </c>
      <c r="C14" s="24" t="inlineStr">
        <is>
          <t>华东</t>
        </is>
      </c>
      <c r="D14" s="24" t="inlineStr">
        <is>
          <t>京东</t>
        </is>
      </c>
      <c r="E14" s="24" t="inlineStr">
        <is>
          <t>老客</t>
        </is>
      </c>
      <c r="F14" s="25" t="n">
        <v>39.16</v>
      </c>
      <c r="G14" s="26" t="n">
        <v>17</v>
      </c>
      <c r="H14" s="25" t="n">
        <v>665.72</v>
      </c>
      <c r="I14" s="25" t="n">
        <v>199.72</v>
      </c>
      <c r="J14" s="25" t="n">
        <v>466</v>
      </c>
      <c r="K14" s="27" t="n">
        <v>0.6999939914678843</v>
      </c>
    </row>
    <row r="15">
      <c r="A15" s="24" t="inlineStr">
        <is>
          <t>2026-03-26</t>
        </is>
      </c>
      <c r="B15" s="24" t="inlineStr">
        <is>
          <t>手机壳套装</t>
        </is>
      </c>
      <c r="C15" s="24" t="inlineStr">
        <is>
          <t>华南</t>
        </is>
      </c>
      <c r="D15" s="24" t="inlineStr">
        <is>
          <t>抖音</t>
        </is>
      </c>
      <c r="E15" s="24" t="inlineStr">
        <is>
          <t>VIP</t>
        </is>
      </c>
      <c r="F15" s="25" t="n">
        <v>59.22</v>
      </c>
      <c r="G15" s="26" t="n">
        <v>50</v>
      </c>
      <c r="H15" s="25" t="n">
        <v>2961</v>
      </c>
      <c r="I15" s="25" t="n">
        <v>888.3</v>
      </c>
      <c r="J15" s="25" t="n">
        <v>2072.7</v>
      </c>
      <c r="K15" s="27" t="n">
        <v>0.7</v>
      </c>
    </row>
    <row r="16">
      <c r="A16" s="24" t="inlineStr">
        <is>
          <t>2026-03-26</t>
        </is>
      </c>
      <c r="B16" s="24" t="inlineStr">
        <is>
          <t>USB-C扩展坞</t>
        </is>
      </c>
      <c r="C16" s="24" t="inlineStr">
        <is>
          <t>西南</t>
        </is>
      </c>
      <c r="D16" s="24" t="inlineStr">
        <is>
          <t>私域</t>
        </is>
      </c>
      <c r="E16" s="24" t="inlineStr">
        <is>
          <t>新客</t>
        </is>
      </c>
      <c r="F16" s="25" t="n">
        <v>155.3</v>
      </c>
      <c r="G16" s="26" t="n">
        <v>19</v>
      </c>
      <c r="H16" s="25" t="n">
        <v>2950.7</v>
      </c>
      <c r="I16" s="25" t="n">
        <v>1121.27</v>
      </c>
      <c r="J16" s="25" t="n">
        <v>1829.43</v>
      </c>
      <c r="K16" s="27" t="n">
        <v>0.6199986443894669</v>
      </c>
    </row>
    <row r="17">
      <c r="A17" s="19" t="inlineStr">
        <is>
          <t>2026-03-26</t>
        </is>
      </c>
      <c r="B17" s="19" t="inlineStr">
        <is>
          <t>便携充电宝</t>
        </is>
      </c>
      <c r="C17" s="19" t="inlineStr">
        <is>
          <t>西南</t>
        </is>
      </c>
      <c r="D17" s="19" t="inlineStr">
        <is>
          <t>淘宝</t>
        </is>
      </c>
      <c r="E17" s="19" t="inlineStr">
        <is>
          <t>老客</t>
        </is>
      </c>
      <c r="F17" s="28" t="n">
        <v>116</v>
      </c>
      <c r="G17" s="29" t="n">
        <v>38</v>
      </c>
      <c r="H17" s="28" t="n">
        <v>4408</v>
      </c>
      <c r="I17" s="28" t="n">
        <v>2204</v>
      </c>
      <c r="J17" s="28" t="n">
        <v>2204</v>
      </c>
      <c r="K17" s="22" t="n">
        <v>0.5</v>
      </c>
    </row>
    <row r="18">
      <c r="A18" s="14" t="inlineStr">
        <is>
          <t>2026-03-25</t>
        </is>
      </c>
      <c r="B18" s="14" t="inlineStr">
        <is>
          <t>便携充电宝</t>
        </is>
      </c>
      <c r="C18" s="14" t="inlineStr">
        <is>
          <t>华东</t>
        </is>
      </c>
      <c r="D18" s="14" t="inlineStr">
        <is>
          <t>拼多多</t>
        </is>
      </c>
      <c r="E18" s="14" t="inlineStr">
        <is>
          <t>VIP</t>
        </is>
      </c>
      <c r="F18" s="30" t="n">
        <v>98.86</v>
      </c>
      <c r="G18" s="31" t="n">
        <v>26</v>
      </c>
      <c r="H18" s="30" t="n">
        <v>2570.36</v>
      </c>
      <c r="I18" s="30" t="n">
        <v>1285.18</v>
      </c>
      <c r="J18" s="30" t="n">
        <v>1285.18</v>
      </c>
      <c r="K18" s="17" t="n">
        <v>0.5</v>
      </c>
    </row>
    <row r="19">
      <c r="A19" s="24" t="inlineStr">
        <is>
          <t>2026-03-25</t>
        </is>
      </c>
      <c r="B19" s="24" t="inlineStr">
        <is>
          <t>手机壳套装</t>
        </is>
      </c>
      <c r="C19" s="24" t="inlineStr">
        <is>
          <t>华东</t>
        </is>
      </c>
      <c r="D19" s="24" t="inlineStr">
        <is>
          <t>京东</t>
        </is>
      </c>
      <c r="E19" s="24" t="inlineStr">
        <is>
          <t>VIP</t>
        </is>
      </c>
      <c r="F19" s="25" t="n">
        <v>58.06</v>
      </c>
      <c r="G19" s="26" t="n">
        <v>27</v>
      </c>
      <c r="H19" s="25" t="n">
        <v>1567.62</v>
      </c>
      <c r="I19" s="25" t="n">
        <v>470.29</v>
      </c>
      <c r="J19" s="25" t="n">
        <v>1097.33</v>
      </c>
      <c r="K19" s="27" t="n">
        <v>0.69999744836121</v>
      </c>
    </row>
    <row r="20">
      <c r="A20" s="24" t="inlineStr">
        <is>
          <t>2026-03-25</t>
        </is>
      </c>
      <c r="B20" s="24" t="inlineStr">
        <is>
          <t>USB-C扩展坞</t>
        </is>
      </c>
      <c r="C20" s="24" t="inlineStr">
        <is>
          <t>华北</t>
        </is>
      </c>
      <c r="D20" s="24" t="inlineStr">
        <is>
          <t>京东</t>
        </is>
      </c>
      <c r="E20" s="24" t="inlineStr">
        <is>
          <t>老客</t>
        </is>
      </c>
      <c r="F20" s="25" t="n">
        <v>165.43</v>
      </c>
      <c r="G20" s="26" t="n">
        <v>39</v>
      </c>
      <c r="H20" s="25" t="n">
        <v>6451.77</v>
      </c>
      <c r="I20" s="25" t="n">
        <v>2451.67</v>
      </c>
      <c r="J20" s="25" t="n">
        <v>4000.1</v>
      </c>
      <c r="K20" s="27" t="n">
        <v>0.6200004029901871</v>
      </c>
    </row>
    <row r="21">
      <c r="A21" s="24" t="inlineStr">
        <is>
          <t>2026-03-24</t>
        </is>
      </c>
      <c r="B21" s="24" t="inlineStr">
        <is>
          <t>手机壳套装</t>
        </is>
      </c>
      <c r="C21" s="24" t="inlineStr">
        <is>
          <t>华东</t>
        </is>
      </c>
      <c r="D21" s="24" t="inlineStr">
        <is>
          <t>私域</t>
        </is>
      </c>
      <c r="E21" s="24" t="inlineStr">
        <is>
          <t>VIP</t>
        </is>
      </c>
      <c r="F21" s="25" t="n">
        <v>39.68</v>
      </c>
      <c r="G21" s="26" t="n">
        <v>44</v>
      </c>
      <c r="H21" s="25" t="n">
        <v>1745.92</v>
      </c>
      <c r="I21" s="25" t="n">
        <v>523.78</v>
      </c>
      <c r="J21" s="25" t="n">
        <v>1222.14</v>
      </c>
      <c r="K21" s="27" t="n">
        <v>0.6999977089442816</v>
      </c>
    </row>
    <row r="22">
      <c r="A22" s="14" t="inlineStr">
        <is>
          <t>2026-03-24</t>
        </is>
      </c>
      <c r="B22" s="14" t="inlineStr">
        <is>
          <t>便携充电宝</t>
        </is>
      </c>
      <c r="C22" s="14" t="inlineStr">
        <is>
          <t>华东</t>
        </is>
      </c>
      <c r="D22" s="14" t="inlineStr">
        <is>
          <t>京东</t>
        </is>
      </c>
      <c r="E22" s="14" t="inlineStr">
        <is>
          <t>VIP</t>
        </is>
      </c>
      <c r="F22" s="30" t="n">
        <v>122.22</v>
      </c>
      <c r="G22" s="31" t="n">
        <v>15</v>
      </c>
      <c r="H22" s="30" t="n">
        <v>1833.3</v>
      </c>
      <c r="I22" s="30" t="n">
        <v>916.65</v>
      </c>
      <c r="J22" s="30" t="n">
        <v>916.65</v>
      </c>
      <c r="K22" s="17" t="n">
        <v>0.5</v>
      </c>
    </row>
    <row r="23">
      <c r="A23" s="19" t="inlineStr">
        <is>
          <t>2026-03-23</t>
        </is>
      </c>
      <c r="B23" s="19" t="inlineStr">
        <is>
          <t>无线蓝牙耳机</t>
        </is>
      </c>
      <c r="C23" s="19" t="inlineStr">
        <is>
          <t>华中</t>
        </is>
      </c>
      <c r="D23" s="19" t="inlineStr">
        <is>
          <t>私域</t>
        </is>
      </c>
      <c r="E23" s="19" t="inlineStr">
        <is>
          <t>新客</t>
        </is>
      </c>
      <c r="F23" s="28" t="n">
        <v>184.76</v>
      </c>
      <c r="G23" s="29" t="n">
        <v>20</v>
      </c>
      <c r="H23" s="28" t="n">
        <v>3695.2</v>
      </c>
      <c r="I23" s="28" t="n">
        <v>1662.84</v>
      </c>
      <c r="J23" s="28" t="n">
        <v>2032.36</v>
      </c>
      <c r="K23" s="22" t="n">
        <v>0.55</v>
      </c>
    </row>
    <row r="24">
      <c r="A24" s="14" t="inlineStr">
        <is>
          <t>2026-03-23</t>
        </is>
      </c>
      <c r="B24" s="14" t="inlineStr">
        <is>
          <t>无线蓝牙耳机</t>
        </is>
      </c>
      <c r="C24" s="14" t="inlineStr">
        <is>
          <t>华东</t>
        </is>
      </c>
      <c r="D24" s="14" t="inlineStr">
        <is>
          <t>京东</t>
        </is>
      </c>
      <c r="E24" s="14" t="inlineStr">
        <is>
          <t>新客</t>
        </is>
      </c>
      <c r="F24" s="30" t="n">
        <v>136.74</v>
      </c>
      <c r="G24" s="31" t="n">
        <v>7</v>
      </c>
      <c r="H24" s="30" t="n">
        <v>957.1799999999999</v>
      </c>
      <c r="I24" s="30" t="n">
        <v>430.73</v>
      </c>
      <c r="J24" s="30" t="n">
        <v>526.45</v>
      </c>
      <c r="K24" s="17" t="n">
        <v>0.5500010447355775</v>
      </c>
    </row>
    <row r="25">
      <c r="A25" s="19" t="inlineStr">
        <is>
          <t>2026-03-22</t>
        </is>
      </c>
      <c r="B25" s="19" t="inlineStr">
        <is>
          <t>机械键盘</t>
        </is>
      </c>
      <c r="C25" s="19" t="inlineStr">
        <is>
          <t>西南</t>
        </is>
      </c>
      <c r="D25" s="19" t="inlineStr">
        <is>
          <t>私域</t>
        </is>
      </c>
      <c r="E25" s="19" t="inlineStr">
        <is>
          <t>新客</t>
        </is>
      </c>
      <c r="F25" s="28" t="n">
        <v>225</v>
      </c>
      <c r="G25" s="29" t="n">
        <v>21</v>
      </c>
      <c r="H25" s="28" t="n">
        <v>4725</v>
      </c>
      <c r="I25" s="28" t="n">
        <v>1984.5</v>
      </c>
      <c r="J25" s="28" t="n">
        <v>2740.5</v>
      </c>
      <c r="K25" s="22" t="n">
        <v>0.58</v>
      </c>
    </row>
    <row r="26">
      <c r="A26" s="14" t="inlineStr">
        <is>
          <t>2026-03-22</t>
        </is>
      </c>
      <c r="B26" s="14" t="inlineStr">
        <is>
          <t>智能手表</t>
        </is>
      </c>
      <c r="C26" s="14" t="inlineStr">
        <is>
          <t>华南</t>
        </is>
      </c>
      <c r="D26" s="14" t="inlineStr">
        <is>
          <t>抖音</t>
        </is>
      </c>
      <c r="E26" s="14" t="inlineStr">
        <is>
          <t>VIP</t>
        </is>
      </c>
      <c r="F26" s="30" t="n">
        <v>321.8</v>
      </c>
      <c r="G26" s="31" t="n">
        <v>45</v>
      </c>
      <c r="H26" s="30" t="n">
        <v>14481</v>
      </c>
      <c r="I26" s="30" t="n">
        <v>5792.4</v>
      </c>
      <c r="J26" s="30" t="n">
        <v>8688.6</v>
      </c>
      <c r="K26" s="17" t="n">
        <v>0.6</v>
      </c>
    </row>
    <row r="27">
      <c r="A27" s="24" t="inlineStr">
        <is>
          <t>2026-03-22</t>
        </is>
      </c>
      <c r="B27" s="24" t="inlineStr">
        <is>
          <t>智能手表</t>
        </is>
      </c>
      <c r="C27" s="24" t="inlineStr">
        <is>
          <t>华东</t>
        </is>
      </c>
      <c r="D27" s="24" t="inlineStr">
        <is>
          <t>淘宝</t>
        </is>
      </c>
      <c r="E27" s="24" t="inlineStr">
        <is>
          <t>新客</t>
        </is>
      </c>
      <c r="F27" s="25" t="n">
        <v>301.16</v>
      </c>
      <c r="G27" s="26" t="n">
        <v>46</v>
      </c>
      <c r="H27" s="25" t="n">
        <v>13853.36</v>
      </c>
      <c r="I27" s="25" t="n">
        <v>5541.34</v>
      </c>
      <c r="J27" s="25" t="n">
        <v>8312.02</v>
      </c>
      <c r="K27" s="27" t="n">
        <v>0.6000002887386164</v>
      </c>
    </row>
    <row r="28">
      <c r="A28" s="14" t="inlineStr">
        <is>
          <t>2026-03-21</t>
        </is>
      </c>
      <c r="B28" s="14" t="inlineStr">
        <is>
          <t>智能手表</t>
        </is>
      </c>
      <c r="C28" s="14" t="inlineStr">
        <is>
          <t>华南</t>
        </is>
      </c>
      <c r="D28" s="14" t="inlineStr">
        <is>
          <t>淘宝</t>
        </is>
      </c>
      <c r="E28" s="14" t="inlineStr">
        <is>
          <t>新客</t>
        </is>
      </c>
      <c r="F28" s="30" t="n">
        <v>358.81</v>
      </c>
      <c r="G28" s="31" t="n">
        <v>2</v>
      </c>
      <c r="H28" s="30" t="n">
        <v>717.62</v>
      </c>
      <c r="I28" s="30" t="n">
        <v>287.05</v>
      </c>
      <c r="J28" s="30" t="n">
        <v>430.57</v>
      </c>
      <c r="K28" s="17" t="n">
        <v>0.5999972130096708</v>
      </c>
    </row>
    <row r="29">
      <c r="A29" s="19" t="inlineStr">
        <is>
          <t>2026-03-21</t>
        </is>
      </c>
      <c r="B29" s="19" t="inlineStr">
        <is>
          <t>无线蓝牙耳机</t>
        </is>
      </c>
      <c r="C29" s="19" t="inlineStr">
        <is>
          <t>华北</t>
        </is>
      </c>
      <c r="D29" s="19" t="inlineStr">
        <is>
          <t>抖音</t>
        </is>
      </c>
      <c r="E29" s="19" t="inlineStr">
        <is>
          <t>VIP</t>
        </is>
      </c>
      <c r="F29" s="28" t="n">
        <v>193.38</v>
      </c>
      <c r="G29" s="29" t="n">
        <v>22</v>
      </c>
      <c r="H29" s="28" t="n">
        <v>4254.36</v>
      </c>
      <c r="I29" s="28" t="n">
        <v>1914.46</v>
      </c>
      <c r="J29" s="28" t="n">
        <v>2339.9</v>
      </c>
      <c r="K29" s="22" t="n">
        <v>0.550000470105962</v>
      </c>
    </row>
    <row r="30">
      <c r="A30" s="14" t="inlineStr">
        <is>
          <t>2026-03-21</t>
        </is>
      </c>
      <c r="B30" s="14" t="inlineStr">
        <is>
          <t>机械键盘</t>
        </is>
      </c>
      <c r="C30" s="14" t="inlineStr">
        <is>
          <t>华南</t>
        </is>
      </c>
      <c r="D30" s="14" t="inlineStr">
        <is>
          <t>淘宝</t>
        </is>
      </c>
      <c r="E30" s="14" t="inlineStr">
        <is>
          <t>新客</t>
        </is>
      </c>
      <c r="F30" s="30" t="n">
        <v>325.83</v>
      </c>
      <c r="G30" s="31" t="n">
        <v>27</v>
      </c>
      <c r="H30" s="30" t="n">
        <v>8797.41</v>
      </c>
      <c r="I30" s="30" t="n">
        <v>3694.91</v>
      </c>
      <c r="J30" s="30" t="n">
        <v>5102.5</v>
      </c>
      <c r="K30" s="17" t="n">
        <v>0.5800002500736012</v>
      </c>
    </row>
    <row r="31">
      <c r="A31" s="19" t="inlineStr">
        <is>
          <t>2026-03-19</t>
        </is>
      </c>
      <c r="B31" s="19" t="inlineStr">
        <is>
          <t>无线蓝牙耳机</t>
        </is>
      </c>
      <c r="C31" s="19" t="inlineStr">
        <is>
          <t>华北</t>
        </is>
      </c>
      <c r="D31" s="19" t="inlineStr">
        <is>
          <t>抖音</t>
        </is>
      </c>
      <c r="E31" s="19" t="inlineStr">
        <is>
          <t>VIP</t>
        </is>
      </c>
      <c r="F31" s="28" t="n">
        <v>128.49</v>
      </c>
      <c r="G31" s="29" t="n">
        <v>23</v>
      </c>
      <c r="H31" s="28" t="n">
        <v>2955.27</v>
      </c>
      <c r="I31" s="28" t="n">
        <v>1329.87</v>
      </c>
      <c r="J31" s="28" t="n">
        <v>1625.4</v>
      </c>
      <c r="K31" s="22" t="n">
        <v>0.5500005075678365</v>
      </c>
    </row>
    <row r="32">
      <c r="A32" s="14" t="inlineStr">
        <is>
          <t>2026-03-19</t>
        </is>
      </c>
      <c r="B32" s="14" t="inlineStr">
        <is>
          <t>机械键盘</t>
        </is>
      </c>
      <c r="C32" s="14" t="inlineStr">
        <is>
          <t>华南</t>
        </is>
      </c>
      <c r="D32" s="14" t="inlineStr">
        <is>
          <t>拼多多</t>
        </is>
      </c>
      <c r="E32" s="14" t="inlineStr">
        <is>
          <t>新客</t>
        </is>
      </c>
      <c r="F32" s="30" t="n">
        <v>180.09</v>
      </c>
      <c r="G32" s="31" t="n">
        <v>19</v>
      </c>
      <c r="H32" s="30" t="n">
        <v>3421.71</v>
      </c>
      <c r="I32" s="30" t="n">
        <v>1437.12</v>
      </c>
      <c r="J32" s="30" t="n">
        <v>1984.59</v>
      </c>
      <c r="K32" s="17" t="n">
        <v>0.5799994739472368</v>
      </c>
    </row>
    <row r="33">
      <c r="A33" s="24" t="inlineStr">
        <is>
          <t>2026-03-18</t>
        </is>
      </c>
      <c r="B33" s="24" t="inlineStr">
        <is>
          <t>手机壳套装</t>
        </is>
      </c>
      <c r="C33" s="24" t="inlineStr">
        <is>
          <t>华东</t>
        </is>
      </c>
      <c r="D33" s="24" t="inlineStr">
        <is>
          <t>抖音</t>
        </is>
      </c>
      <c r="E33" s="24" t="inlineStr">
        <is>
          <t>老客</t>
        </is>
      </c>
      <c r="F33" s="25" t="n">
        <v>37.48</v>
      </c>
      <c r="G33" s="26" t="n">
        <v>41</v>
      </c>
      <c r="H33" s="25" t="n">
        <v>1536.68</v>
      </c>
      <c r="I33" s="25" t="n">
        <v>461</v>
      </c>
      <c r="J33" s="25" t="n">
        <v>1075.68</v>
      </c>
      <c r="K33" s="27" t="n">
        <v>0.7000026030142905</v>
      </c>
    </row>
    <row r="34">
      <c r="A34" s="24" t="inlineStr">
        <is>
          <t>2026-03-18</t>
        </is>
      </c>
      <c r="B34" s="24" t="inlineStr">
        <is>
          <t>智能手表</t>
        </is>
      </c>
      <c r="C34" s="24" t="inlineStr">
        <is>
          <t>华东</t>
        </is>
      </c>
      <c r="D34" s="24" t="inlineStr">
        <is>
          <t>京东</t>
        </is>
      </c>
      <c r="E34" s="24" t="inlineStr">
        <is>
          <t>老客</t>
        </is>
      </c>
      <c r="F34" s="25" t="n">
        <v>536.62</v>
      </c>
      <c r="G34" s="26" t="n">
        <v>28</v>
      </c>
      <c r="H34" s="25" t="n">
        <v>15025.36</v>
      </c>
      <c r="I34" s="25" t="n">
        <v>6010.14</v>
      </c>
      <c r="J34" s="25" t="n">
        <v>9015.219999999999</v>
      </c>
      <c r="K34" s="27" t="n">
        <v>0.6000002662165831</v>
      </c>
    </row>
    <row r="35">
      <c r="A35" s="24" t="inlineStr">
        <is>
          <t>2026-03-17</t>
        </is>
      </c>
      <c r="B35" s="24" t="inlineStr">
        <is>
          <t>USB-C扩展坞</t>
        </is>
      </c>
      <c r="C35" s="24" t="inlineStr">
        <is>
          <t>华北</t>
        </is>
      </c>
      <c r="D35" s="24" t="inlineStr">
        <is>
          <t>拼多多</t>
        </is>
      </c>
      <c r="E35" s="24" t="inlineStr">
        <is>
          <t>新客</t>
        </is>
      </c>
      <c r="F35" s="25" t="n">
        <v>130.14</v>
      </c>
      <c r="G35" s="26" t="n">
        <v>47</v>
      </c>
      <c r="H35" s="25" t="n">
        <v>6116.58</v>
      </c>
      <c r="I35" s="25" t="n">
        <v>2324.3</v>
      </c>
      <c r="J35" s="25" t="n">
        <v>3792.28</v>
      </c>
      <c r="K35" s="27" t="n">
        <v>0.620000065396022</v>
      </c>
    </row>
    <row r="36">
      <c r="A36" s="14" t="inlineStr">
        <is>
          <t>2026-03-17</t>
        </is>
      </c>
      <c r="B36" s="14" t="inlineStr">
        <is>
          <t>智能手表</t>
        </is>
      </c>
      <c r="C36" s="14" t="inlineStr">
        <is>
          <t>华中</t>
        </is>
      </c>
      <c r="D36" s="14" t="inlineStr">
        <is>
          <t>淘宝</t>
        </is>
      </c>
      <c r="E36" s="14" t="inlineStr">
        <is>
          <t>VIP</t>
        </is>
      </c>
      <c r="F36" s="30" t="n">
        <v>318.21</v>
      </c>
      <c r="G36" s="31" t="n">
        <v>2</v>
      </c>
      <c r="H36" s="30" t="n">
        <v>636.42</v>
      </c>
      <c r="I36" s="30" t="n">
        <v>254.57</v>
      </c>
      <c r="J36" s="30" t="n">
        <v>381.85</v>
      </c>
      <c r="K36" s="17" t="n">
        <v>0.5999968574211999</v>
      </c>
    </row>
    <row r="37">
      <c r="A37" s="24" t="inlineStr">
        <is>
          <t>2026-03-16</t>
        </is>
      </c>
      <c r="B37" s="24" t="inlineStr">
        <is>
          <t>USB-C扩展坞</t>
        </is>
      </c>
      <c r="C37" s="24" t="inlineStr">
        <is>
          <t>华东</t>
        </is>
      </c>
      <c r="D37" s="24" t="inlineStr">
        <is>
          <t>私域</t>
        </is>
      </c>
      <c r="E37" s="24" t="inlineStr">
        <is>
          <t>老客</t>
        </is>
      </c>
      <c r="F37" s="25" t="n">
        <v>121.84</v>
      </c>
      <c r="G37" s="26" t="n">
        <v>50</v>
      </c>
      <c r="H37" s="25" t="n">
        <v>6092</v>
      </c>
      <c r="I37" s="25" t="n">
        <v>2314.96</v>
      </c>
      <c r="J37" s="25" t="n">
        <v>3777.04</v>
      </c>
      <c r="K37" s="27" t="n">
        <v>0.62</v>
      </c>
    </row>
    <row r="38">
      <c r="A38" s="24" t="inlineStr">
        <is>
          <t>2026-03-16</t>
        </is>
      </c>
      <c r="B38" s="24" t="inlineStr">
        <is>
          <t>USB-C扩展坞</t>
        </is>
      </c>
      <c r="C38" s="24" t="inlineStr">
        <is>
          <t>西南</t>
        </is>
      </c>
      <c r="D38" s="24" t="inlineStr">
        <is>
          <t>京东</t>
        </is>
      </c>
      <c r="E38" s="24" t="inlineStr">
        <is>
          <t>新客</t>
        </is>
      </c>
      <c r="F38" s="25" t="n">
        <v>179.77</v>
      </c>
      <c r="G38" s="26" t="n">
        <v>12</v>
      </c>
      <c r="H38" s="25" t="n">
        <v>2157.24</v>
      </c>
      <c r="I38" s="25" t="n">
        <v>819.75</v>
      </c>
      <c r="J38" s="25" t="n">
        <v>1337.49</v>
      </c>
      <c r="K38" s="27" t="n">
        <v>0.6200005562663404</v>
      </c>
    </row>
    <row r="39">
      <c r="A39" s="19" t="inlineStr">
        <is>
          <t>2026-03-16</t>
        </is>
      </c>
      <c r="B39" s="19" t="inlineStr">
        <is>
          <t>机械键盘</t>
        </is>
      </c>
      <c r="C39" s="19" t="inlineStr">
        <is>
          <t>华南</t>
        </is>
      </c>
      <c r="D39" s="19" t="inlineStr">
        <is>
          <t>淘宝</t>
        </is>
      </c>
      <c r="E39" s="19" t="inlineStr">
        <is>
          <t>老客</t>
        </is>
      </c>
      <c r="F39" s="28" t="n">
        <v>285.63</v>
      </c>
      <c r="G39" s="29" t="n">
        <v>32</v>
      </c>
      <c r="H39" s="28" t="n">
        <v>9140.16</v>
      </c>
      <c r="I39" s="28" t="n">
        <v>3838.87</v>
      </c>
      <c r="J39" s="28" t="n">
        <v>5301.29</v>
      </c>
      <c r="K39" s="22" t="n">
        <v>0.5799996936596296</v>
      </c>
    </row>
    <row r="40">
      <c r="A40" s="14" t="inlineStr">
        <is>
          <t>2026-03-15</t>
        </is>
      </c>
      <c r="B40" s="14" t="inlineStr">
        <is>
          <t>机械键盘</t>
        </is>
      </c>
      <c r="C40" s="14" t="inlineStr">
        <is>
          <t>西南</t>
        </is>
      </c>
      <c r="D40" s="14" t="inlineStr">
        <is>
          <t>京东</t>
        </is>
      </c>
      <c r="E40" s="14" t="inlineStr">
        <is>
          <t>VIP</t>
        </is>
      </c>
      <c r="F40" s="30" t="n">
        <v>154.14</v>
      </c>
      <c r="G40" s="31" t="n">
        <v>20</v>
      </c>
      <c r="H40" s="30" t="n">
        <v>3082.8</v>
      </c>
      <c r="I40" s="30" t="n">
        <v>1294.78</v>
      </c>
      <c r="J40" s="30" t="n">
        <v>1788.02</v>
      </c>
      <c r="K40" s="17" t="n">
        <v>0.5799987024782665</v>
      </c>
    </row>
    <row r="41">
      <c r="A41" s="24" t="inlineStr">
        <is>
          <t>2026-03-15</t>
        </is>
      </c>
      <c r="B41" s="24" t="inlineStr">
        <is>
          <t>USB-C扩展坞</t>
        </is>
      </c>
      <c r="C41" s="24" t="inlineStr">
        <is>
          <t>华中</t>
        </is>
      </c>
      <c r="D41" s="24" t="inlineStr">
        <is>
          <t>京东</t>
        </is>
      </c>
      <c r="E41" s="24" t="inlineStr">
        <is>
          <t>新客</t>
        </is>
      </c>
      <c r="F41" s="25" t="n">
        <v>102.57</v>
      </c>
      <c r="G41" s="26" t="n">
        <v>9</v>
      </c>
      <c r="H41" s="25" t="n">
        <v>923.13</v>
      </c>
      <c r="I41" s="25" t="n">
        <v>350.79</v>
      </c>
      <c r="J41" s="25" t="n">
        <v>572.34</v>
      </c>
      <c r="K41" s="27" t="n">
        <v>0.6199993500373729</v>
      </c>
    </row>
    <row r="42">
      <c r="A42" s="14" t="inlineStr">
        <is>
          <t>2026-03-15</t>
        </is>
      </c>
      <c r="B42" s="14" t="inlineStr">
        <is>
          <t>无线蓝牙耳机</t>
        </is>
      </c>
      <c r="C42" s="14" t="inlineStr">
        <is>
          <t>华中</t>
        </is>
      </c>
      <c r="D42" s="14" t="inlineStr">
        <is>
          <t>抖音</t>
        </is>
      </c>
      <c r="E42" s="14" t="inlineStr">
        <is>
          <t>VIP</t>
        </is>
      </c>
      <c r="F42" s="30" t="n">
        <v>99.05</v>
      </c>
      <c r="G42" s="31" t="n">
        <v>44</v>
      </c>
      <c r="H42" s="30" t="n">
        <v>4358.2</v>
      </c>
      <c r="I42" s="30" t="n">
        <v>1961.19</v>
      </c>
      <c r="J42" s="30" t="n">
        <v>2397.01</v>
      </c>
      <c r="K42" s="17" t="n">
        <v>0.55</v>
      </c>
    </row>
    <row r="43">
      <c r="A43" s="19" t="inlineStr">
        <is>
          <t>2026-03-15</t>
        </is>
      </c>
      <c r="B43" s="19" t="inlineStr">
        <is>
          <t>机械键盘</t>
        </is>
      </c>
      <c r="C43" s="19" t="inlineStr">
        <is>
          <t>华南</t>
        </is>
      </c>
      <c r="D43" s="19" t="inlineStr">
        <is>
          <t>抖音</t>
        </is>
      </c>
      <c r="E43" s="19" t="inlineStr">
        <is>
          <t>新客</t>
        </is>
      </c>
      <c r="F43" s="28" t="n">
        <v>326.09</v>
      </c>
      <c r="G43" s="29" t="n">
        <v>24</v>
      </c>
      <c r="H43" s="28" t="n">
        <v>7826.16</v>
      </c>
      <c r="I43" s="28" t="n">
        <v>3286.99</v>
      </c>
      <c r="J43" s="28" t="n">
        <v>4539.17</v>
      </c>
      <c r="K43" s="22" t="n">
        <v>0.5799996422255614</v>
      </c>
    </row>
    <row r="44">
      <c r="A44" s="14" t="inlineStr">
        <is>
          <t>2026-03-13</t>
        </is>
      </c>
      <c r="B44" s="14" t="inlineStr">
        <is>
          <t>便携充电宝</t>
        </is>
      </c>
      <c r="C44" s="14" t="inlineStr">
        <is>
          <t>华中</t>
        </is>
      </c>
      <c r="D44" s="14" t="inlineStr">
        <is>
          <t>拼多多</t>
        </is>
      </c>
      <c r="E44" s="14" t="inlineStr">
        <is>
          <t>VIP</t>
        </is>
      </c>
      <c r="F44" s="30" t="n">
        <v>60.17</v>
      </c>
      <c r="G44" s="31" t="n">
        <v>48</v>
      </c>
      <c r="H44" s="30" t="n">
        <v>2888.16</v>
      </c>
      <c r="I44" s="30" t="n">
        <v>1444.08</v>
      </c>
      <c r="J44" s="30" t="n">
        <v>1444.08</v>
      </c>
      <c r="K44" s="17" t="n">
        <v>0.5</v>
      </c>
    </row>
    <row r="45">
      <c r="A45" s="24" t="inlineStr">
        <is>
          <t>2026-03-13</t>
        </is>
      </c>
      <c r="B45" s="24" t="inlineStr">
        <is>
          <t>手机壳套装</t>
        </is>
      </c>
      <c r="C45" s="24" t="inlineStr">
        <is>
          <t>华南</t>
        </is>
      </c>
      <c r="D45" s="24" t="inlineStr">
        <is>
          <t>抖音</t>
        </is>
      </c>
      <c r="E45" s="24" t="inlineStr">
        <is>
          <t>老客</t>
        </is>
      </c>
      <c r="F45" s="25" t="n">
        <v>49.72</v>
      </c>
      <c r="G45" s="26" t="n">
        <v>4</v>
      </c>
      <c r="H45" s="25" t="n">
        <v>198.88</v>
      </c>
      <c r="I45" s="25" t="n">
        <v>59.66</v>
      </c>
      <c r="J45" s="25" t="n">
        <v>139.22</v>
      </c>
      <c r="K45" s="27" t="n">
        <v>0.7000201126307322</v>
      </c>
    </row>
    <row r="46">
      <c r="A46" s="14" t="inlineStr">
        <is>
          <t>2026-03-12</t>
        </is>
      </c>
      <c r="B46" s="14" t="inlineStr">
        <is>
          <t>智能手表</t>
        </is>
      </c>
      <c r="C46" s="14" t="inlineStr">
        <is>
          <t>华南</t>
        </is>
      </c>
      <c r="D46" s="14" t="inlineStr">
        <is>
          <t>拼多多</t>
        </is>
      </c>
      <c r="E46" s="14" t="inlineStr">
        <is>
          <t>VIP</t>
        </is>
      </c>
      <c r="F46" s="30" t="n">
        <v>337.52</v>
      </c>
      <c r="G46" s="31" t="n">
        <v>31</v>
      </c>
      <c r="H46" s="30" t="n">
        <v>10463.12</v>
      </c>
      <c r="I46" s="30" t="n">
        <v>4185.25</v>
      </c>
      <c r="J46" s="30" t="n">
        <v>6277.87</v>
      </c>
      <c r="K46" s="17" t="n">
        <v>0.5999998088524263</v>
      </c>
    </row>
    <row r="47">
      <c r="A47" s="19" t="inlineStr">
        <is>
          <t>2026-03-12</t>
        </is>
      </c>
      <c r="B47" s="19" t="inlineStr">
        <is>
          <t>无线蓝牙耳机</t>
        </is>
      </c>
      <c r="C47" s="19" t="inlineStr">
        <is>
          <t>华东</t>
        </is>
      </c>
      <c r="D47" s="19" t="inlineStr">
        <is>
          <t>淘宝</t>
        </is>
      </c>
      <c r="E47" s="19" t="inlineStr">
        <is>
          <t>新客</t>
        </is>
      </c>
      <c r="F47" s="28" t="n">
        <v>106.28</v>
      </c>
      <c r="G47" s="29" t="n">
        <v>12</v>
      </c>
      <c r="H47" s="28" t="n">
        <v>1275.36</v>
      </c>
      <c r="I47" s="28" t="n">
        <v>573.91</v>
      </c>
      <c r="J47" s="28" t="n">
        <v>701.45</v>
      </c>
      <c r="K47" s="22" t="n">
        <v>0.5500015681846695</v>
      </c>
    </row>
    <row r="48">
      <c r="A48" s="14" t="inlineStr">
        <is>
          <t>2026-03-12</t>
        </is>
      </c>
      <c r="B48" s="14" t="inlineStr">
        <is>
          <t>机械键盘</t>
        </is>
      </c>
      <c r="C48" s="14" t="inlineStr">
        <is>
          <t>华中</t>
        </is>
      </c>
      <c r="D48" s="14" t="inlineStr">
        <is>
          <t>京东</t>
        </is>
      </c>
      <c r="E48" s="14" t="inlineStr">
        <is>
          <t>老客</t>
        </is>
      </c>
      <c r="F48" s="30" t="n">
        <v>245.87</v>
      </c>
      <c r="G48" s="31" t="n">
        <v>22</v>
      </c>
      <c r="H48" s="30" t="n">
        <v>5409.14</v>
      </c>
      <c r="I48" s="30" t="n">
        <v>2271.84</v>
      </c>
      <c r="J48" s="30" t="n">
        <v>3137.3</v>
      </c>
      <c r="K48" s="17" t="n">
        <v>0.5799997781532739</v>
      </c>
    </row>
    <row r="49">
      <c r="A49" s="24" t="inlineStr">
        <is>
          <t>2026-03-11</t>
        </is>
      </c>
      <c r="B49" s="24" t="inlineStr">
        <is>
          <t>手机壳套装</t>
        </is>
      </c>
      <c r="C49" s="24" t="inlineStr">
        <is>
          <t>华东</t>
        </is>
      </c>
      <c r="D49" s="24" t="inlineStr">
        <is>
          <t>私域</t>
        </is>
      </c>
      <c r="E49" s="24" t="inlineStr">
        <is>
          <t>老客</t>
        </is>
      </c>
      <c r="F49" s="25" t="n">
        <v>33.1</v>
      </c>
      <c r="G49" s="26" t="n">
        <v>48</v>
      </c>
      <c r="H49" s="25" t="n">
        <v>1588.8</v>
      </c>
      <c r="I49" s="25" t="n">
        <v>476.64</v>
      </c>
      <c r="J49" s="25" t="n">
        <v>1112.16</v>
      </c>
      <c r="K49" s="27" t="n">
        <v>0.7000000000000001</v>
      </c>
    </row>
    <row r="50">
      <c r="A50" s="14" t="inlineStr">
        <is>
          <t>2026-03-11</t>
        </is>
      </c>
      <c r="B50" s="14" t="inlineStr">
        <is>
          <t>机械键盘</t>
        </is>
      </c>
      <c r="C50" s="14" t="inlineStr">
        <is>
          <t>华南</t>
        </is>
      </c>
      <c r="D50" s="14" t="inlineStr">
        <is>
          <t>拼多多</t>
        </is>
      </c>
      <c r="E50" s="14" t="inlineStr">
        <is>
          <t>老客</t>
        </is>
      </c>
      <c r="F50" s="30" t="n">
        <v>233.63</v>
      </c>
      <c r="G50" s="31" t="n">
        <v>14</v>
      </c>
      <c r="H50" s="30" t="n">
        <v>3270.82</v>
      </c>
      <c r="I50" s="30" t="n">
        <v>1373.74</v>
      </c>
      <c r="J50" s="30" t="n">
        <v>1897.08</v>
      </c>
      <c r="K50" s="17" t="n">
        <v>0.5800013452284136</v>
      </c>
    </row>
    <row r="51">
      <c r="A51" s="19" t="inlineStr">
        <is>
          <t>2026-03-11</t>
        </is>
      </c>
      <c r="B51" s="19" t="inlineStr">
        <is>
          <t>智能手表</t>
        </is>
      </c>
      <c r="C51" s="19" t="inlineStr">
        <is>
          <t>华中</t>
        </is>
      </c>
      <c r="D51" s="19" t="inlineStr">
        <is>
          <t>抖音</t>
        </is>
      </c>
      <c r="E51" s="19" t="inlineStr">
        <is>
          <t>VIP</t>
        </is>
      </c>
      <c r="F51" s="28" t="n">
        <v>411.17</v>
      </c>
      <c r="G51" s="29" t="n">
        <v>11</v>
      </c>
      <c r="H51" s="28" t="n">
        <v>4522.87</v>
      </c>
      <c r="I51" s="28" t="n">
        <v>1809.15</v>
      </c>
      <c r="J51" s="28" t="n">
        <v>2713.72</v>
      </c>
      <c r="K51" s="22" t="n">
        <v>0.5999995578028995</v>
      </c>
    </row>
    <row r="52">
      <c r="A52" s="24" t="inlineStr">
        <is>
          <t>2026-03-10</t>
        </is>
      </c>
      <c r="B52" s="24" t="inlineStr">
        <is>
          <t>智能手表</t>
        </is>
      </c>
      <c r="C52" s="24" t="inlineStr">
        <is>
          <t>华南</t>
        </is>
      </c>
      <c r="D52" s="24" t="inlineStr">
        <is>
          <t>拼多多</t>
        </is>
      </c>
      <c r="E52" s="24" t="inlineStr">
        <is>
          <t>新客</t>
        </is>
      </c>
      <c r="F52" s="25" t="n">
        <v>389.68</v>
      </c>
      <c r="G52" s="26" t="n">
        <v>46</v>
      </c>
      <c r="H52" s="25" t="n">
        <v>17925.28</v>
      </c>
      <c r="I52" s="25" t="n">
        <v>7170.11</v>
      </c>
      <c r="J52" s="25" t="n">
        <v>10755.17</v>
      </c>
      <c r="K52" s="27" t="n">
        <v>0.6000001115742684</v>
      </c>
    </row>
    <row r="53">
      <c r="A53" s="24" t="inlineStr">
        <is>
          <t>2026-03-10</t>
        </is>
      </c>
      <c r="B53" s="24" t="inlineStr">
        <is>
          <t>USB-C扩展坞</t>
        </is>
      </c>
      <c r="C53" s="24" t="inlineStr">
        <is>
          <t>华南</t>
        </is>
      </c>
      <c r="D53" s="24" t="inlineStr">
        <is>
          <t>京东</t>
        </is>
      </c>
      <c r="E53" s="24" t="inlineStr">
        <is>
          <t>老客</t>
        </is>
      </c>
      <c r="F53" s="25" t="n">
        <v>91.77</v>
      </c>
      <c r="G53" s="26" t="n">
        <v>16</v>
      </c>
      <c r="H53" s="25" t="n">
        <v>1468.32</v>
      </c>
      <c r="I53" s="25" t="n">
        <v>557.96</v>
      </c>
      <c r="J53" s="25" t="n">
        <v>910.36</v>
      </c>
      <c r="K53" s="27" t="n">
        <v>0.6200010896807235</v>
      </c>
    </row>
    <row r="54">
      <c r="A54" s="24" t="inlineStr">
        <is>
          <t>2026-03-09</t>
        </is>
      </c>
      <c r="B54" s="24" t="inlineStr">
        <is>
          <t>智能手表</t>
        </is>
      </c>
      <c r="C54" s="24" t="inlineStr">
        <is>
          <t>华中</t>
        </is>
      </c>
      <c r="D54" s="24" t="inlineStr">
        <is>
          <t>私域</t>
        </is>
      </c>
      <c r="E54" s="24" t="inlineStr">
        <is>
          <t>老客</t>
        </is>
      </c>
      <c r="F54" s="25" t="n">
        <v>539.42</v>
      </c>
      <c r="G54" s="26" t="n">
        <v>43</v>
      </c>
      <c r="H54" s="25" t="n">
        <v>23195.06</v>
      </c>
      <c r="I54" s="25" t="n">
        <v>9278.02</v>
      </c>
      <c r="J54" s="25" t="n">
        <v>13917.04</v>
      </c>
      <c r="K54" s="27" t="n">
        <v>0.6000001724505132</v>
      </c>
    </row>
    <row r="55">
      <c r="A55" s="19" t="inlineStr">
        <is>
          <t>2026-03-09</t>
        </is>
      </c>
      <c r="B55" s="19" t="inlineStr">
        <is>
          <t>智能手表</t>
        </is>
      </c>
      <c r="C55" s="19" t="inlineStr">
        <is>
          <t>华中</t>
        </is>
      </c>
      <c r="D55" s="19" t="inlineStr">
        <is>
          <t>拼多多</t>
        </is>
      </c>
      <c r="E55" s="19" t="inlineStr">
        <is>
          <t>新客</t>
        </is>
      </c>
      <c r="F55" s="28" t="n">
        <v>534.95</v>
      </c>
      <c r="G55" s="29" t="n">
        <v>24</v>
      </c>
      <c r="H55" s="28" t="n">
        <v>12838.8</v>
      </c>
      <c r="I55" s="28" t="n">
        <v>5135.52</v>
      </c>
      <c r="J55" s="28" t="n">
        <v>7703.28</v>
      </c>
      <c r="K55" s="22" t="n">
        <v>0.6</v>
      </c>
    </row>
    <row r="56">
      <c r="A56" s="14" t="inlineStr">
        <is>
          <t>2026-03-09</t>
        </is>
      </c>
      <c r="B56" s="14" t="inlineStr">
        <is>
          <t>机械键盘</t>
        </is>
      </c>
      <c r="C56" s="14" t="inlineStr">
        <is>
          <t>华北</t>
        </is>
      </c>
      <c r="D56" s="14" t="inlineStr">
        <is>
          <t>京东</t>
        </is>
      </c>
      <c r="E56" s="14" t="inlineStr">
        <is>
          <t>VIP</t>
        </is>
      </c>
      <c r="F56" s="30" t="n">
        <v>222.8</v>
      </c>
      <c r="G56" s="31" t="n">
        <v>36</v>
      </c>
      <c r="H56" s="30" t="n">
        <v>8020.8</v>
      </c>
      <c r="I56" s="30" t="n">
        <v>3368.74</v>
      </c>
      <c r="J56" s="30" t="n">
        <v>4652.06</v>
      </c>
      <c r="K56" s="17" t="n">
        <v>0.5799995012966288</v>
      </c>
    </row>
    <row r="57">
      <c r="A57" s="24" t="inlineStr">
        <is>
          <t>2026-03-09</t>
        </is>
      </c>
      <c r="B57" s="24" t="inlineStr">
        <is>
          <t>手机壳套装</t>
        </is>
      </c>
      <c r="C57" s="24" t="inlineStr">
        <is>
          <t>华东</t>
        </is>
      </c>
      <c r="D57" s="24" t="inlineStr">
        <is>
          <t>私域</t>
        </is>
      </c>
      <c r="E57" s="24" t="inlineStr">
        <is>
          <t>老客</t>
        </is>
      </c>
      <c r="F57" s="25" t="n">
        <v>41.1</v>
      </c>
      <c r="G57" s="26" t="n">
        <v>42</v>
      </c>
      <c r="H57" s="25" t="n">
        <v>1726.2</v>
      </c>
      <c r="I57" s="25" t="n">
        <v>517.86</v>
      </c>
      <c r="J57" s="25" t="n">
        <v>1208.34</v>
      </c>
      <c r="K57" s="27" t="n">
        <v>0.7</v>
      </c>
    </row>
    <row r="58">
      <c r="A58" s="24" t="inlineStr">
        <is>
          <t>2026-03-08</t>
        </is>
      </c>
      <c r="B58" s="24" t="inlineStr">
        <is>
          <t>手机壳套装</t>
        </is>
      </c>
      <c r="C58" s="24" t="inlineStr">
        <is>
          <t>华北</t>
        </is>
      </c>
      <c r="D58" s="24" t="inlineStr">
        <is>
          <t>京东</t>
        </is>
      </c>
      <c r="E58" s="24" t="inlineStr">
        <is>
          <t>VIP</t>
        </is>
      </c>
      <c r="F58" s="25" t="n">
        <v>60.33</v>
      </c>
      <c r="G58" s="26" t="n">
        <v>43</v>
      </c>
      <c r="H58" s="25" t="n">
        <v>2594.19</v>
      </c>
      <c r="I58" s="25" t="n">
        <v>778.26</v>
      </c>
      <c r="J58" s="25" t="n">
        <v>1815.93</v>
      </c>
      <c r="K58" s="27" t="n">
        <v>0.6999988435696691</v>
      </c>
    </row>
    <row r="59">
      <c r="A59" s="24" t="inlineStr">
        <is>
          <t>2026-03-08</t>
        </is>
      </c>
      <c r="B59" s="24" t="inlineStr">
        <is>
          <t>手机壳套装</t>
        </is>
      </c>
      <c r="C59" s="24" t="inlineStr">
        <is>
          <t>西南</t>
        </is>
      </c>
      <c r="D59" s="24" t="inlineStr">
        <is>
          <t>抖音</t>
        </is>
      </c>
      <c r="E59" s="24" t="inlineStr">
        <is>
          <t>新客</t>
        </is>
      </c>
      <c r="F59" s="25" t="n">
        <v>55</v>
      </c>
      <c r="G59" s="26" t="n">
        <v>29</v>
      </c>
      <c r="H59" s="25" t="n">
        <v>1595</v>
      </c>
      <c r="I59" s="25" t="n">
        <v>478.5</v>
      </c>
      <c r="J59" s="25" t="n">
        <v>1116.5</v>
      </c>
      <c r="K59" s="27" t="n">
        <v>0.7</v>
      </c>
    </row>
    <row r="60">
      <c r="A60" s="14" t="inlineStr">
        <is>
          <t>2026-03-08</t>
        </is>
      </c>
      <c r="B60" s="14" t="inlineStr">
        <is>
          <t>机械键盘</t>
        </is>
      </c>
      <c r="C60" s="14" t="inlineStr">
        <is>
          <t>西南</t>
        </is>
      </c>
      <c r="D60" s="14" t="inlineStr">
        <is>
          <t>京东</t>
        </is>
      </c>
      <c r="E60" s="14" t="inlineStr">
        <is>
          <t>老客</t>
        </is>
      </c>
      <c r="F60" s="30" t="n">
        <v>307.15</v>
      </c>
      <c r="G60" s="31" t="n">
        <v>15</v>
      </c>
      <c r="H60" s="30" t="n">
        <v>4607.25</v>
      </c>
      <c r="I60" s="30" t="n">
        <v>1935.04</v>
      </c>
      <c r="J60" s="30" t="n">
        <v>2672.21</v>
      </c>
      <c r="K60" s="17" t="n">
        <v>0.5800010852460795</v>
      </c>
    </row>
    <row r="61">
      <c r="A61" s="19" t="inlineStr">
        <is>
          <t>2026-03-08</t>
        </is>
      </c>
      <c r="B61" s="19" t="inlineStr">
        <is>
          <t>智能手表</t>
        </is>
      </c>
      <c r="C61" s="19" t="inlineStr">
        <is>
          <t>华北</t>
        </is>
      </c>
      <c r="D61" s="19" t="inlineStr">
        <is>
          <t>私域</t>
        </is>
      </c>
      <c r="E61" s="19" t="inlineStr">
        <is>
          <t>VIP</t>
        </is>
      </c>
      <c r="F61" s="28" t="n">
        <v>429.65</v>
      </c>
      <c r="G61" s="29" t="n">
        <v>47</v>
      </c>
      <c r="H61" s="28" t="n">
        <v>20193.55</v>
      </c>
      <c r="I61" s="28" t="n">
        <v>8077.42</v>
      </c>
      <c r="J61" s="28" t="n">
        <v>12116.13</v>
      </c>
      <c r="K61" s="22" t="n">
        <v>0.6</v>
      </c>
    </row>
    <row r="62">
      <c r="A62" s="14" t="inlineStr">
        <is>
          <t>2026-03-07</t>
        </is>
      </c>
      <c r="B62" s="14" t="inlineStr">
        <is>
          <t>无线蓝牙耳机</t>
        </is>
      </c>
      <c r="C62" s="14" t="inlineStr">
        <is>
          <t>华南</t>
        </is>
      </c>
      <c r="D62" s="14" t="inlineStr">
        <is>
          <t>拼多多</t>
        </is>
      </c>
      <c r="E62" s="14" t="inlineStr">
        <is>
          <t>VIP</t>
        </is>
      </c>
      <c r="F62" s="30" t="n">
        <v>183.56</v>
      </c>
      <c r="G62" s="31" t="n">
        <v>5</v>
      </c>
      <c r="H62" s="30" t="n">
        <v>917.8</v>
      </c>
      <c r="I62" s="30" t="n">
        <v>413.01</v>
      </c>
      <c r="J62" s="30" t="n">
        <v>504.79</v>
      </c>
      <c r="K62" s="17" t="n">
        <v>0.55</v>
      </c>
    </row>
    <row r="63">
      <c r="A63" s="19" t="inlineStr">
        <is>
          <t>2026-03-06</t>
        </is>
      </c>
      <c r="B63" s="19" t="inlineStr">
        <is>
          <t>机械键盘</t>
        </is>
      </c>
      <c r="C63" s="19" t="inlineStr">
        <is>
          <t>华南</t>
        </is>
      </c>
      <c r="D63" s="19" t="inlineStr">
        <is>
          <t>私域</t>
        </is>
      </c>
      <c r="E63" s="19" t="inlineStr">
        <is>
          <t>新客</t>
        </is>
      </c>
      <c r="F63" s="28" t="n">
        <v>267.73</v>
      </c>
      <c r="G63" s="29" t="n">
        <v>29</v>
      </c>
      <c r="H63" s="28" t="n">
        <v>7764.17</v>
      </c>
      <c r="I63" s="28" t="n">
        <v>3260.95</v>
      </c>
      <c r="J63" s="28" t="n">
        <v>4503.22</v>
      </c>
      <c r="K63" s="22" t="n">
        <v>0.5800001803154748</v>
      </c>
    </row>
    <row r="64">
      <c r="A64" s="24" t="inlineStr">
        <is>
          <t>2026-03-06</t>
        </is>
      </c>
      <c r="B64" s="24" t="inlineStr">
        <is>
          <t>USB-C扩展坞</t>
        </is>
      </c>
      <c r="C64" s="24" t="inlineStr">
        <is>
          <t>西南</t>
        </is>
      </c>
      <c r="D64" s="24" t="inlineStr">
        <is>
          <t>私域</t>
        </is>
      </c>
      <c r="E64" s="24" t="inlineStr">
        <is>
          <t>老客</t>
        </is>
      </c>
      <c r="F64" s="25" t="n">
        <v>146.39</v>
      </c>
      <c r="G64" s="26" t="n">
        <v>47</v>
      </c>
      <c r="H64" s="25" t="n">
        <v>6880.33</v>
      </c>
      <c r="I64" s="25" t="n">
        <v>2614.53</v>
      </c>
      <c r="J64" s="25" t="n">
        <v>4265.8</v>
      </c>
      <c r="K64" s="27" t="n">
        <v>0.619999331427417</v>
      </c>
    </row>
    <row r="65">
      <c r="A65" s="24" t="inlineStr">
        <is>
          <t>2026-03-06</t>
        </is>
      </c>
      <c r="B65" s="24" t="inlineStr">
        <is>
          <t>手机壳套装</t>
        </is>
      </c>
      <c r="C65" s="24" t="inlineStr">
        <is>
          <t>西南</t>
        </is>
      </c>
      <c r="D65" s="24" t="inlineStr">
        <is>
          <t>拼多多</t>
        </is>
      </c>
      <c r="E65" s="24" t="inlineStr">
        <is>
          <t>新客</t>
        </is>
      </c>
      <c r="F65" s="25" t="n">
        <v>54.37</v>
      </c>
      <c r="G65" s="26" t="n">
        <v>17</v>
      </c>
      <c r="H65" s="25" t="n">
        <v>924.29</v>
      </c>
      <c r="I65" s="25" t="n">
        <v>277.29</v>
      </c>
      <c r="J65" s="25" t="n">
        <v>647</v>
      </c>
      <c r="K65" s="27" t="n">
        <v>0.6999967542654362</v>
      </c>
    </row>
    <row r="66">
      <c r="A66" s="14" t="inlineStr">
        <is>
          <t>2026-03-06</t>
        </is>
      </c>
      <c r="B66" s="14" t="inlineStr">
        <is>
          <t>无线蓝牙耳机</t>
        </is>
      </c>
      <c r="C66" s="14" t="inlineStr">
        <is>
          <t>华北</t>
        </is>
      </c>
      <c r="D66" s="14" t="inlineStr">
        <is>
          <t>淘宝</t>
        </is>
      </c>
      <c r="E66" s="14" t="inlineStr">
        <is>
          <t>老客</t>
        </is>
      </c>
      <c r="F66" s="30" t="n">
        <v>97.06</v>
      </c>
      <c r="G66" s="31" t="n">
        <v>14</v>
      </c>
      <c r="H66" s="30" t="n">
        <v>1358.84</v>
      </c>
      <c r="I66" s="30" t="n">
        <v>611.48</v>
      </c>
      <c r="J66" s="30" t="n">
        <v>747.36</v>
      </c>
      <c r="K66" s="17" t="n">
        <v>0.5499985281563687</v>
      </c>
    </row>
    <row r="67">
      <c r="A67" s="19" t="inlineStr">
        <is>
          <t>2026-03-05</t>
        </is>
      </c>
      <c r="B67" s="19" t="inlineStr">
        <is>
          <t>机械键盘</t>
        </is>
      </c>
      <c r="C67" s="19" t="inlineStr">
        <is>
          <t>西南</t>
        </is>
      </c>
      <c r="D67" s="19" t="inlineStr">
        <is>
          <t>抖音</t>
        </is>
      </c>
      <c r="E67" s="19" t="inlineStr">
        <is>
          <t>新客</t>
        </is>
      </c>
      <c r="F67" s="28" t="n">
        <v>221.36</v>
      </c>
      <c r="G67" s="29" t="n">
        <v>49</v>
      </c>
      <c r="H67" s="28" t="n">
        <v>10846.64</v>
      </c>
      <c r="I67" s="28" t="n">
        <v>4555.59</v>
      </c>
      <c r="J67" s="28" t="n">
        <v>6291.05</v>
      </c>
      <c r="K67" s="22" t="n">
        <v>0.579999889366661</v>
      </c>
    </row>
    <row r="68">
      <c r="A68" s="24" t="inlineStr">
        <is>
          <t>2026-03-05</t>
        </is>
      </c>
      <c r="B68" s="24" t="inlineStr">
        <is>
          <t>手机壳套装</t>
        </is>
      </c>
      <c r="C68" s="24" t="inlineStr">
        <is>
          <t>华北</t>
        </is>
      </c>
      <c r="D68" s="24" t="inlineStr">
        <is>
          <t>淘宝</t>
        </is>
      </c>
      <c r="E68" s="24" t="inlineStr">
        <is>
          <t>老客</t>
        </is>
      </c>
      <c r="F68" s="25" t="n">
        <v>44.16</v>
      </c>
      <c r="G68" s="26" t="n">
        <v>2</v>
      </c>
      <c r="H68" s="25" t="n">
        <v>88.31999999999999</v>
      </c>
      <c r="I68" s="25" t="n">
        <v>26.5</v>
      </c>
      <c r="J68" s="25" t="n">
        <v>61.82</v>
      </c>
      <c r="K68" s="27" t="n">
        <v>0.6999547101449276</v>
      </c>
    </row>
    <row r="69">
      <c r="A69" s="24" t="inlineStr">
        <is>
          <t>2026-03-05</t>
        </is>
      </c>
      <c r="B69" s="24" t="inlineStr">
        <is>
          <t>手机壳套装</t>
        </is>
      </c>
      <c r="C69" s="24" t="inlineStr">
        <is>
          <t>西南</t>
        </is>
      </c>
      <c r="D69" s="24" t="inlineStr">
        <is>
          <t>京东</t>
        </is>
      </c>
      <c r="E69" s="24" t="inlineStr">
        <is>
          <t>新客</t>
        </is>
      </c>
      <c r="F69" s="25" t="n">
        <v>41.59</v>
      </c>
      <c r="G69" s="26" t="n">
        <v>42</v>
      </c>
      <c r="H69" s="25" t="n">
        <v>1746.78</v>
      </c>
      <c r="I69" s="25" t="n">
        <v>524.03</v>
      </c>
      <c r="J69" s="25" t="n">
        <v>1222.75</v>
      </c>
      <c r="K69" s="27" t="n">
        <v>0.7000022899277528</v>
      </c>
    </row>
    <row r="70">
      <c r="A70" s="14" t="inlineStr">
        <is>
          <t>2026-03-04</t>
        </is>
      </c>
      <c r="B70" s="14" t="inlineStr">
        <is>
          <t>便携充电宝</t>
        </is>
      </c>
      <c r="C70" s="14" t="inlineStr">
        <is>
          <t>华南</t>
        </is>
      </c>
      <c r="D70" s="14" t="inlineStr">
        <is>
          <t>拼多多</t>
        </is>
      </c>
      <c r="E70" s="14" t="inlineStr">
        <is>
          <t>老客</t>
        </is>
      </c>
      <c r="F70" s="30" t="n">
        <v>110.27</v>
      </c>
      <c r="G70" s="31" t="n">
        <v>34</v>
      </c>
      <c r="H70" s="30" t="n">
        <v>3749.18</v>
      </c>
      <c r="I70" s="30" t="n">
        <v>1874.59</v>
      </c>
      <c r="J70" s="30" t="n">
        <v>1874.59</v>
      </c>
      <c r="K70" s="17" t="n">
        <v>0.5</v>
      </c>
    </row>
    <row r="71">
      <c r="A71" s="24" t="inlineStr">
        <is>
          <t>2026-03-03</t>
        </is>
      </c>
      <c r="B71" s="24" t="inlineStr">
        <is>
          <t>智能手表</t>
        </is>
      </c>
      <c r="C71" s="24" t="inlineStr">
        <is>
          <t>华北</t>
        </is>
      </c>
      <c r="D71" s="24" t="inlineStr">
        <is>
          <t>私域</t>
        </is>
      </c>
      <c r="E71" s="24" t="inlineStr">
        <is>
          <t>VIP</t>
        </is>
      </c>
      <c r="F71" s="25" t="n">
        <v>356.46</v>
      </c>
      <c r="G71" s="26" t="n">
        <v>48</v>
      </c>
      <c r="H71" s="25" t="n">
        <v>17110.08</v>
      </c>
      <c r="I71" s="25" t="n">
        <v>6844.03</v>
      </c>
      <c r="J71" s="25" t="n">
        <v>10266.05</v>
      </c>
      <c r="K71" s="27" t="n">
        <v>0.6000001168901605</v>
      </c>
    </row>
    <row r="72">
      <c r="A72" s="24" t="inlineStr">
        <is>
          <t>2026-03-02</t>
        </is>
      </c>
      <c r="B72" s="24" t="inlineStr">
        <is>
          <t>USB-C扩展坞</t>
        </is>
      </c>
      <c r="C72" s="24" t="inlineStr">
        <is>
          <t>华北</t>
        </is>
      </c>
      <c r="D72" s="24" t="inlineStr">
        <is>
          <t>抖音</t>
        </is>
      </c>
      <c r="E72" s="24" t="inlineStr">
        <is>
          <t>新客</t>
        </is>
      </c>
      <c r="F72" s="25" t="n">
        <v>128.56</v>
      </c>
      <c r="G72" s="26" t="n">
        <v>39</v>
      </c>
      <c r="H72" s="25" t="n">
        <v>5013.84</v>
      </c>
      <c r="I72" s="25" t="n">
        <v>1905.26</v>
      </c>
      <c r="J72" s="25" t="n">
        <v>3108.58</v>
      </c>
      <c r="K72" s="27" t="n">
        <v>0.6199998404416575</v>
      </c>
    </row>
    <row r="73">
      <c r="A73" s="24" t="inlineStr">
        <is>
          <t>2026-03-02</t>
        </is>
      </c>
      <c r="B73" s="24" t="inlineStr">
        <is>
          <t>USB-C扩展坞</t>
        </is>
      </c>
      <c r="C73" s="24" t="inlineStr">
        <is>
          <t>西南</t>
        </is>
      </c>
      <c r="D73" s="24" t="inlineStr">
        <is>
          <t>京东</t>
        </is>
      </c>
      <c r="E73" s="24" t="inlineStr">
        <is>
          <t>VIP</t>
        </is>
      </c>
      <c r="F73" s="25" t="n">
        <v>83.8</v>
      </c>
      <c r="G73" s="26" t="n">
        <v>48</v>
      </c>
      <c r="H73" s="25" t="n">
        <v>4022.4</v>
      </c>
      <c r="I73" s="25" t="n">
        <v>1528.51</v>
      </c>
      <c r="J73" s="25" t="n">
        <v>2493.89</v>
      </c>
      <c r="K73" s="27" t="n">
        <v>0.6200004972155926</v>
      </c>
    </row>
    <row r="74">
      <c r="A74" s="14" t="inlineStr">
        <is>
          <t>2026-03-02</t>
        </is>
      </c>
      <c r="B74" s="14" t="inlineStr">
        <is>
          <t>便携充电宝</t>
        </is>
      </c>
      <c r="C74" s="14" t="inlineStr">
        <is>
          <t>华东</t>
        </is>
      </c>
      <c r="D74" s="14" t="inlineStr">
        <is>
          <t>私域</t>
        </is>
      </c>
      <c r="E74" s="14" t="inlineStr">
        <is>
          <t>VIP</t>
        </is>
      </c>
      <c r="F74" s="30" t="n">
        <v>57.67</v>
      </c>
      <c r="G74" s="31" t="n">
        <v>15</v>
      </c>
      <c r="H74" s="30" t="n">
        <v>865.05</v>
      </c>
      <c r="I74" s="30" t="n">
        <v>432.53</v>
      </c>
      <c r="J74" s="30" t="n">
        <v>432.52</v>
      </c>
      <c r="K74" s="17" t="n">
        <v>0.499994219987284</v>
      </c>
    </row>
    <row r="75">
      <c r="A75" s="24" t="inlineStr">
        <is>
          <t>2026-03-02</t>
        </is>
      </c>
      <c r="B75" s="24" t="inlineStr">
        <is>
          <t>USB-C扩展坞</t>
        </is>
      </c>
      <c r="C75" s="24" t="inlineStr">
        <is>
          <t>华南</t>
        </is>
      </c>
      <c r="D75" s="24" t="inlineStr">
        <is>
          <t>抖音</t>
        </is>
      </c>
      <c r="E75" s="24" t="inlineStr">
        <is>
          <t>老客</t>
        </is>
      </c>
      <c r="F75" s="25" t="n">
        <v>153.32</v>
      </c>
      <c r="G75" s="26" t="n">
        <v>33</v>
      </c>
      <c r="H75" s="25" t="n">
        <v>5059.56</v>
      </c>
      <c r="I75" s="25" t="n">
        <v>1922.63</v>
      </c>
      <c r="J75" s="25" t="n">
        <v>3136.93</v>
      </c>
      <c r="K75" s="27" t="n">
        <v>0.6200005534078061</v>
      </c>
    </row>
    <row r="76">
      <c r="A76" s="24" t="inlineStr">
        <is>
          <t>2026-03-01</t>
        </is>
      </c>
      <c r="B76" s="24" t="inlineStr">
        <is>
          <t>USB-C扩展坞</t>
        </is>
      </c>
      <c r="C76" s="24" t="inlineStr">
        <is>
          <t>西南</t>
        </is>
      </c>
      <c r="D76" s="24" t="inlineStr">
        <is>
          <t>抖音</t>
        </is>
      </c>
      <c r="E76" s="24" t="inlineStr">
        <is>
          <t>新客</t>
        </is>
      </c>
      <c r="F76" s="25" t="n">
        <v>123.84</v>
      </c>
      <c r="G76" s="26" t="n">
        <v>35</v>
      </c>
      <c r="H76" s="25" t="n">
        <v>4334.4</v>
      </c>
      <c r="I76" s="25" t="n">
        <v>1647.07</v>
      </c>
      <c r="J76" s="25" t="n">
        <v>2687.33</v>
      </c>
      <c r="K76" s="27" t="n">
        <v>0.6200004614248801</v>
      </c>
    </row>
    <row r="77">
      <c r="A77" s="19" t="inlineStr">
        <is>
          <t>2026-03-01</t>
        </is>
      </c>
      <c r="B77" s="19" t="inlineStr">
        <is>
          <t>无线蓝牙耳机</t>
        </is>
      </c>
      <c r="C77" s="19" t="inlineStr">
        <is>
          <t>西南</t>
        </is>
      </c>
      <c r="D77" s="19" t="inlineStr">
        <is>
          <t>抖音</t>
        </is>
      </c>
      <c r="E77" s="19" t="inlineStr">
        <is>
          <t>新客</t>
        </is>
      </c>
      <c r="F77" s="28" t="n">
        <v>161.34</v>
      </c>
      <c r="G77" s="29" t="n">
        <v>35</v>
      </c>
      <c r="H77" s="28" t="n">
        <v>5646.9</v>
      </c>
      <c r="I77" s="28" t="n">
        <v>2541.11</v>
      </c>
      <c r="J77" s="28" t="n">
        <v>3105.79</v>
      </c>
      <c r="K77" s="22" t="n">
        <v>0.5499991145584303</v>
      </c>
    </row>
    <row r="78">
      <c r="A78" s="14" t="inlineStr">
        <is>
          <t>2026-02-28</t>
        </is>
      </c>
      <c r="B78" s="14" t="inlineStr">
        <is>
          <t>便携充电宝</t>
        </is>
      </c>
      <c r="C78" s="14" t="inlineStr">
        <is>
          <t>华东</t>
        </is>
      </c>
      <c r="D78" s="14" t="inlineStr">
        <is>
          <t>淘宝</t>
        </is>
      </c>
      <c r="E78" s="14" t="inlineStr">
        <is>
          <t>老客</t>
        </is>
      </c>
      <c r="F78" s="30" t="n">
        <v>105.56</v>
      </c>
      <c r="G78" s="31" t="n">
        <v>45</v>
      </c>
      <c r="H78" s="30" t="n">
        <v>4750.2</v>
      </c>
      <c r="I78" s="30" t="n">
        <v>2375.1</v>
      </c>
      <c r="J78" s="30" t="n">
        <v>2375.1</v>
      </c>
      <c r="K78" s="17" t="n">
        <v>0.5</v>
      </c>
    </row>
    <row r="79">
      <c r="A79" s="24" t="inlineStr">
        <is>
          <t>2026-02-28</t>
        </is>
      </c>
      <c r="B79" s="24" t="inlineStr">
        <is>
          <t>USB-C扩展坞</t>
        </is>
      </c>
      <c r="C79" s="24" t="inlineStr">
        <is>
          <t>华中</t>
        </is>
      </c>
      <c r="D79" s="24" t="inlineStr">
        <is>
          <t>淘宝</t>
        </is>
      </c>
      <c r="E79" s="24" t="inlineStr">
        <is>
          <t>老客</t>
        </is>
      </c>
      <c r="F79" s="25" t="n">
        <v>186.83</v>
      </c>
      <c r="G79" s="26" t="n">
        <v>16</v>
      </c>
      <c r="H79" s="25" t="n">
        <v>2989.28</v>
      </c>
      <c r="I79" s="25" t="n">
        <v>1135.93</v>
      </c>
      <c r="J79" s="25" t="n">
        <v>1853.35</v>
      </c>
      <c r="K79" s="27" t="n">
        <v>0.6199987956966225</v>
      </c>
    </row>
    <row r="80">
      <c r="A80" s="14" t="inlineStr">
        <is>
          <t>2026-02-28</t>
        </is>
      </c>
      <c r="B80" s="14" t="inlineStr">
        <is>
          <t>机械键盘</t>
        </is>
      </c>
      <c r="C80" s="14" t="inlineStr">
        <is>
          <t>华北</t>
        </is>
      </c>
      <c r="D80" s="14" t="inlineStr">
        <is>
          <t>拼多多</t>
        </is>
      </c>
      <c r="E80" s="14" t="inlineStr">
        <is>
          <t>老客</t>
        </is>
      </c>
      <c r="F80" s="30" t="n">
        <v>215.16</v>
      </c>
      <c r="G80" s="31" t="n">
        <v>45</v>
      </c>
      <c r="H80" s="30" t="n">
        <v>9682.200000000001</v>
      </c>
      <c r="I80" s="30" t="n">
        <v>4066.52</v>
      </c>
      <c r="J80" s="30" t="n">
        <v>5615.68</v>
      </c>
      <c r="K80" s="17" t="n">
        <v>0.5800004131292474</v>
      </c>
    </row>
    <row r="81">
      <c r="A81" s="19" t="inlineStr">
        <is>
          <t>2026-02-27</t>
        </is>
      </c>
      <c r="B81" s="19" t="inlineStr">
        <is>
          <t>智能手表</t>
        </is>
      </c>
      <c r="C81" s="19" t="inlineStr">
        <is>
          <t>华北</t>
        </is>
      </c>
      <c r="D81" s="19" t="inlineStr">
        <is>
          <t>淘宝</t>
        </is>
      </c>
      <c r="E81" s="19" t="inlineStr">
        <is>
          <t>VIP</t>
        </is>
      </c>
      <c r="F81" s="28" t="n">
        <v>522.1</v>
      </c>
      <c r="G81" s="29" t="n">
        <v>31</v>
      </c>
      <c r="H81" s="28" t="n">
        <v>16185.1</v>
      </c>
      <c r="I81" s="28" t="n">
        <v>6474.04</v>
      </c>
      <c r="J81" s="28" t="n">
        <v>9711.059999999999</v>
      </c>
      <c r="K81" s="22" t="n">
        <v>0.6</v>
      </c>
    </row>
    <row r="82">
      <c r="A82" s="14" t="inlineStr">
        <is>
          <t>2026-02-26</t>
        </is>
      </c>
      <c r="B82" s="14" t="inlineStr">
        <is>
          <t>机械键盘</t>
        </is>
      </c>
      <c r="C82" s="14" t="inlineStr">
        <is>
          <t>华北</t>
        </is>
      </c>
      <c r="D82" s="14" t="inlineStr">
        <is>
          <t>淘宝</t>
        </is>
      </c>
      <c r="E82" s="14" t="inlineStr">
        <is>
          <t>新客</t>
        </is>
      </c>
      <c r="F82" s="30" t="n">
        <v>205.87</v>
      </c>
      <c r="G82" s="31" t="n">
        <v>31</v>
      </c>
      <c r="H82" s="30" t="n">
        <v>6381.97</v>
      </c>
      <c r="I82" s="30" t="n">
        <v>2680.43</v>
      </c>
      <c r="J82" s="30" t="n">
        <v>3701.54</v>
      </c>
      <c r="K82" s="17" t="n">
        <v>0.5799995926022842</v>
      </c>
    </row>
    <row r="83">
      <c r="A83" s="24" t="inlineStr">
        <is>
          <t>2026-02-26</t>
        </is>
      </c>
      <c r="B83" s="24" t="inlineStr">
        <is>
          <t>手机壳套装</t>
        </is>
      </c>
      <c r="C83" s="24" t="inlineStr">
        <is>
          <t>华北</t>
        </is>
      </c>
      <c r="D83" s="24" t="inlineStr">
        <is>
          <t>私域</t>
        </is>
      </c>
      <c r="E83" s="24" t="inlineStr">
        <is>
          <t>老客</t>
        </is>
      </c>
      <c r="F83" s="25" t="n">
        <v>50.86</v>
      </c>
      <c r="G83" s="26" t="n">
        <v>5</v>
      </c>
      <c r="H83" s="25" t="n">
        <v>254.3</v>
      </c>
      <c r="I83" s="25" t="n">
        <v>76.29000000000001</v>
      </c>
      <c r="J83" s="25" t="n">
        <v>178.01</v>
      </c>
      <c r="K83" s="27" t="n">
        <v>0.7</v>
      </c>
    </row>
    <row r="84">
      <c r="A84" s="24" t="inlineStr">
        <is>
          <t>2026-02-26</t>
        </is>
      </c>
      <c r="B84" s="24" t="inlineStr">
        <is>
          <t>手机壳套装</t>
        </is>
      </c>
      <c r="C84" s="24" t="inlineStr">
        <is>
          <t>华中</t>
        </is>
      </c>
      <c r="D84" s="24" t="inlineStr">
        <is>
          <t>京东</t>
        </is>
      </c>
      <c r="E84" s="24" t="inlineStr">
        <is>
          <t>VIP</t>
        </is>
      </c>
      <c r="F84" s="25" t="n">
        <v>68.19</v>
      </c>
      <c r="G84" s="26" t="n">
        <v>11</v>
      </c>
      <c r="H84" s="25" t="n">
        <v>750.09</v>
      </c>
      <c r="I84" s="25" t="n">
        <v>225.03</v>
      </c>
      <c r="J84" s="25" t="n">
        <v>525.0599999999999</v>
      </c>
      <c r="K84" s="27" t="n">
        <v>0.6999960004799423</v>
      </c>
    </row>
    <row r="85">
      <c r="A85" s="19" t="inlineStr">
        <is>
          <t>2026-02-26</t>
        </is>
      </c>
      <c r="B85" s="19" t="inlineStr">
        <is>
          <t>便携充电宝</t>
        </is>
      </c>
      <c r="C85" s="19" t="inlineStr">
        <is>
          <t>西南</t>
        </is>
      </c>
      <c r="D85" s="19" t="inlineStr">
        <is>
          <t>抖音</t>
        </is>
      </c>
      <c r="E85" s="19" t="inlineStr">
        <is>
          <t>新客</t>
        </is>
      </c>
      <c r="F85" s="28" t="n">
        <v>92.94</v>
      </c>
      <c r="G85" s="29" t="n">
        <v>19</v>
      </c>
      <c r="H85" s="28" t="n">
        <v>1765.86</v>
      </c>
      <c r="I85" s="28" t="n">
        <v>882.9299999999999</v>
      </c>
      <c r="J85" s="28" t="n">
        <v>882.9299999999999</v>
      </c>
      <c r="K85" s="22" t="n">
        <v>0.5</v>
      </c>
    </row>
    <row r="86">
      <c r="A86" s="24" t="inlineStr">
        <is>
          <t>2026-02-25</t>
        </is>
      </c>
      <c r="B86" s="24" t="inlineStr">
        <is>
          <t>USB-C扩展坞</t>
        </is>
      </c>
      <c r="C86" s="24" t="inlineStr">
        <is>
          <t>华北</t>
        </is>
      </c>
      <c r="D86" s="24" t="inlineStr">
        <is>
          <t>京东</t>
        </is>
      </c>
      <c r="E86" s="24" t="inlineStr">
        <is>
          <t>VIP</t>
        </is>
      </c>
      <c r="F86" s="25" t="n">
        <v>169.46</v>
      </c>
      <c r="G86" s="26" t="n">
        <v>7</v>
      </c>
      <c r="H86" s="25" t="n">
        <v>1186.22</v>
      </c>
      <c r="I86" s="25" t="n">
        <v>450.76</v>
      </c>
      <c r="J86" s="25" t="n">
        <v>735.46</v>
      </c>
      <c r="K86" s="27" t="n">
        <v>0.6200030348501965</v>
      </c>
    </row>
    <row r="87">
      <c r="A87" s="24" t="inlineStr">
        <is>
          <t>2026-02-25</t>
        </is>
      </c>
      <c r="B87" s="24" t="inlineStr">
        <is>
          <t>USB-C扩展坞</t>
        </is>
      </c>
      <c r="C87" s="24" t="inlineStr">
        <is>
          <t>华北</t>
        </is>
      </c>
      <c r="D87" s="24" t="inlineStr">
        <is>
          <t>私域</t>
        </is>
      </c>
      <c r="E87" s="24" t="inlineStr">
        <is>
          <t>老客</t>
        </is>
      </c>
      <c r="F87" s="25" t="n">
        <v>87.84999999999999</v>
      </c>
      <c r="G87" s="26" t="n">
        <v>3</v>
      </c>
      <c r="H87" s="25" t="n">
        <v>263.55</v>
      </c>
      <c r="I87" s="25" t="n">
        <v>100.15</v>
      </c>
      <c r="J87" s="25" t="n">
        <v>163.4</v>
      </c>
      <c r="K87" s="27" t="n">
        <v>0.6199962056535762</v>
      </c>
    </row>
    <row r="88">
      <c r="A88" s="24" t="inlineStr">
        <is>
          <t>2026-02-24</t>
        </is>
      </c>
      <c r="B88" s="24" t="inlineStr">
        <is>
          <t>手机壳套装</t>
        </is>
      </c>
      <c r="C88" s="24" t="inlineStr">
        <is>
          <t>华南</t>
        </is>
      </c>
      <c r="D88" s="24" t="inlineStr">
        <is>
          <t>京东</t>
        </is>
      </c>
      <c r="E88" s="24" t="inlineStr">
        <is>
          <t>新客</t>
        </is>
      </c>
      <c r="F88" s="25" t="n">
        <v>30.08</v>
      </c>
      <c r="G88" s="26" t="n">
        <v>42</v>
      </c>
      <c r="H88" s="25" t="n">
        <v>1263.36</v>
      </c>
      <c r="I88" s="25" t="n">
        <v>379.01</v>
      </c>
      <c r="J88" s="25" t="n">
        <v>884.35</v>
      </c>
      <c r="K88" s="27" t="n">
        <v>0.6999984169199596</v>
      </c>
    </row>
    <row r="89">
      <c r="A89" s="24" t="inlineStr">
        <is>
          <t>2026-02-24</t>
        </is>
      </c>
      <c r="B89" s="24" t="inlineStr">
        <is>
          <t>手机壳套装</t>
        </is>
      </c>
      <c r="C89" s="24" t="inlineStr">
        <is>
          <t>华东</t>
        </is>
      </c>
      <c r="D89" s="24" t="inlineStr">
        <is>
          <t>私域</t>
        </is>
      </c>
      <c r="E89" s="24" t="inlineStr">
        <is>
          <t>新客</t>
        </is>
      </c>
      <c r="F89" s="25" t="n">
        <v>52.59</v>
      </c>
      <c r="G89" s="26" t="n">
        <v>13</v>
      </c>
      <c r="H89" s="25" t="n">
        <v>683.67</v>
      </c>
      <c r="I89" s="25" t="n">
        <v>205.1</v>
      </c>
      <c r="J89" s="25" t="n">
        <v>478.57</v>
      </c>
      <c r="K89" s="27" t="n">
        <v>0.7000014626939898</v>
      </c>
    </row>
    <row r="90">
      <c r="A90" s="14" t="inlineStr">
        <is>
          <t>2026-02-23</t>
        </is>
      </c>
      <c r="B90" s="14" t="inlineStr">
        <is>
          <t>便携充电宝</t>
        </is>
      </c>
      <c r="C90" s="14" t="inlineStr">
        <is>
          <t>西南</t>
        </is>
      </c>
      <c r="D90" s="14" t="inlineStr">
        <is>
          <t>淘宝</t>
        </is>
      </c>
      <c r="E90" s="14" t="inlineStr">
        <is>
          <t>VIP</t>
        </is>
      </c>
      <c r="F90" s="30" t="n">
        <v>93.34999999999999</v>
      </c>
      <c r="G90" s="31" t="n">
        <v>13</v>
      </c>
      <c r="H90" s="30" t="n">
        <v>1213.55</v>
      </c>
      <c r="I90" s="30" t="n">
        <v>606.77</v>
      </c>
      <c r="J90" s="30" t="n">
        <v>606.78</v>
      </c>
      <c r="K90" s="17" t="n">
        <v>0.500004120143381</v>
      </c>
    </row>
    <row r="91">
      <c r="A91" s="19" t="inlineStr">
        <is>
          <t>2026-02-22</t>
        </is>
      </c>
      <c r="B91" s="19" t="inlineStr">
        <is>
          <t>便携充电宝</t>
        </is>
      </c>
      <c r="C91" s="19" t="inlineStr">
        <is>
          <t>华北</t>
        </is>
      </c>
      <c r="D91" s="19" t="inlineStr">
        <is>
          <t>京东</t>
        </is>
      </c>
      <c r="E91" s="19" t="inlineStr">
        <is>
          <t>VIP</t>
        </is>
      </c>
      <c r="F91" s="28" t="n">
        <v>89.56999999999999</v>
      </c>
      <c r="G91" s="29" t="n">
        <v>43</v>
      </c>
      <c r="H91" s="28" t="n">
        <v>3851.51</v>
      </c>
      <c r="I91" s="28" t="n">
        <v>1925.75</v>
      </c>
      <c r="J91" s="28" t="n">
        <v>1925.76</v>
      </c>
      <c r="K91" s="22" t="n">
        <v>0.5000012981921376</v>
      </c>
    </row>
    <row r="92">
      <c r="A92" s="14" t="inlineStr">
        <is>
          <t>2026-02-21</t>
        </is>
      </c>
      <c r="B92" s="14" t="inlineStr">
        <is>
          <t>机械键盘</t>
        </is>
      </c>
      <c r="C92" s="14" t="inlineStr">
        <is>
          <t>华北</t>
        </is>
      </c>
      <c r="D92" s="14" t="inlineStr">
        <is>
          <t>淘宝</t>
        </is>
      </c>
      <c r="E92" s="14" t="inlineStr">
        <is>
          <t>新客</t>
        </is>
      </c>
      <c r="F92" s="30" t="n">
        <v>234.69</v>
      </c>
      <c r="G92" s="31" t="n">
        <v>38</v>
      </c>
      <c r="H92" s="30" t="n">
        <v>8918.219999999999</v>
      </c>
      <c r="I92" s="30" t="n">
        <v>3745.65</v>
      </c>
      <c r="J92" s="30" t="n">
        <v>5172.57</v>
      </c>
      <c r="K92" s="17" t="n">
        <v>0.5800002691119976</v>
      </c>
    </row>
    <row r="93">
      <c r="A93" s="19" t="inlineStr">
        <is>
          <t>2026-02-21</t>
        </is>
      </c>
      <c r="B93" s="19" t="inlineStr">
        <is>
          <t>无线蓝牙耳机</t>
        </is>
      </c>
      <c r="C93" s="19" t="inlineStr">
        <is>
          <t>华南</t>
        </is>
      </c>
      <c r="D93" s="19" t="inlineStr">
        <is>
          <t>拼多多</t>
        </is>
      </c>
      <c r="E93" s="19" t="inlineStr">
        <is>
          <t>VIP</t>
        </is>
      </c>
      <c r="F93" s="28" t="n">
        <v>99.23999999999999</v>
      </c>
      <c r="G93" s="29" t="n">
        <v>15</v>
      </c>
      <c r="H93" s="28" t="n">
        <v>1488.6</v>
      </c>
      <c r="I93" s="28" t="n">
        <v>669.87</v>
      </c>
      <c r="J93" s="28" t="n">
        <v>818.73</v>
      </c>
      <c r="K93" s="22" t="n">
        <v>0.55</v>
      </c>
    </row>
    <row r="94">
      <c r="A94" s="24" t="inlineStr">
        <is>
          <t>2026-02-20</t>
        </is>
      </c>
      <c r="B94" s="24" t="inlineStr">
        <is>
          <t>手机壳套装</t>
        </is>
      </c>
      <c r="C94" s="24" t="inlineStr">
        <is>
          <t>华南</t>
        </is>
      </c>
      <c r="D94" s="24" t="inlineStr">
        <is>
          <t>拼多多</t>
        </is>
      </c>
      <c r="E94" s="24" t="inlineStr">
        <is>
          <t>老客</t>
        </is>
      </c>
      <c r="F94" s="25" t="n">
        <v>41.57</v>
      </c>
      <c r="G94" s="26" t="n">
        <v>17</v>
      </c>
      <c r="H94" s="25" t="n">
        <v>706.6900000000001</v>
      </c>
      <c r="I94" s="25" t="n">
        <v>212.01</v>
      </c>
      <c r="J94" s="25" t="n">
        <v>494.68</v>
      </c>
      <c r="K94" s="27" t="n">
        <v>0.6999957548571509</v>
      </c>
    </row>
    <row r="95">
      <c r="A95" s="19" t="inlineStr">
        <is>
          <t>2026-02-19</t>
        </is>
      </c>
      <c r="B95" s="19" t="inlineStr">
        <is>
          <t>机械键盘</t>
        </is>
      </c>
      <c r="C95" s="19" t="inlineStr">
        <is>
          <t>西南</t>
        </is>
      </c>
      <c r="D95" s="19" t="inlineStr">
        <is>
          <t>京东</t>
        </is>
      </c>
      <c r="E95" s="19" t="inlineStr">
        <is>
          <t>新客</t>
        </is>
      </c>
      <c r="F95" s="28" t="n">
        <v>187.89</v>
      </c>
      <c r="G95" s="29" t="n">
        <v>45</v>
      </c>
      <c r="H95" s="28" t="n">
        <v>8455.049999999999</v>
      </c>
      <c r="I95" s="28" t="n">
        <v>3551.12</v>
      </c>
      <c r="J95" s="28" t="n">
        <v>4903.93</v>
      </c>
      <c r="K95" s="22" t="n">
        <v>0.5800001182725117</v>
      </c>
    </row>
    <row r="96">
      <c r="A96" s="14" t="inlineStr">
        <is>
          <t>2026-02-19</t>
        </is>
      </c>
      <c r="B96" s="14" t="inlineStr">
        <is>
          <t>无线蓝牙耳机</t>
        </is>
      </c>
      <c r="C96" s="14" t="inlineStr">
        <is>
          <t>华南</t>
        </is>
      </c>
      <c r="D96" s="14" t="inlineStr">
        <is>
          <t>淘宝</t>
        </is>
      </c>
      <c r="E96" s="14" t="inlineStr">
        <is>
          <t>新客</t>
        </is>
      </c>
      <c r="F96" s="30" t="n">
        <v>104.22</v>
      </c>
      <c r="G96" s="31" t="n">
        <v>15</v>
      </c>
      <c r="H96" s="30" t="n">
        <v>1563.3</v>
      </c>
      <c r="I96" s="30" t="n">
        <v>703.49</v>
      </c>
      <c r="J96" s="30" t="n">
        <v>859.8099999999999</v>
      </c>
      <c r="K96" s="17" t="n">
        <v>0.5499968016375616</v>
      </c>
    </row>
    <row r="97">
      <c r="A97" s="19" t="inlineStr">
        <is>
          <t>2026-02-16</t>
        </is>
      </c>
      <c r="B97" s="19" t="inlineStr">
        <is>
          <t>便携充电宝</t>
        </is>
      </c>
      <c r="C97" s="19" t="inlineStr">
        <is>
          <t>华北</t>
        </is>
      </c>
      <c r="D97" s="19" t="inlineStr">
        <is>
          <t>淘宝</t>
        </is>
      </c>
      <c r="E97" s="19" t="inlineStr">
        <is>
          <t>新客</t>
        </is>
      </c>
      <c r="F97" s="28" t="n">
        <v>88.09</v>
      </c>
      <c r="G97" s="29" t="n">
        <v>8</v>
      </c>
      <c r="H97" s="28" t="n">
        <v>704.72</v>
      </c>
      <c r="I97" s="28" t="n">
        <v>352.36</v>
      </c>
      <c r="J97" s="28" t="n">
        <v>352.36</v>
      </c>
      <c r="K97" s="22" t="n">
        <v>0.5</v>
      </c>
    </row>
    <row r="98">
      <c r="A98" s="24" t="inlineStr">
        <is>
          <t>2026-02-14</t>
        </is>
      </c>
      <c r="B98" s="24" t="inlineStr">
        <is>
          <t>USB-C扩展坞</t>
        </is>
      </c>
      <c r="C98" s="24" t="inlineStr">
        <is>
          <t>华北</t>
        </is>
      </c>
      <c r="D98" s="24" t="inlineStr">
        <is>
          <t>淘宝</t>
        </is>
      </c>
      <c r="E98" s="24" t="inlineStr">
        <is>
          <t>新客</t>
        </is>
      </c>
      <c r="F98" s="25" t="n">
        <v>103.47</v>
      </c>
      <c r="G98" s="26" t="n">
        <v>30</v>
      </c>
      <c r="H98" s="25" t="n">
        <v>3104.1</v>
      </c>
      <c r="I98" s="25" t="n">
        <v>1179.56</v>
      </c>
      <c r="J98" s="25" t="n">
        <v>1924.54</v>
      </c>
      <c r="K98" s="27" t="n">
        <v>0.6199993556908605</v>
      </c>
    </row>
    <row r="99">
      <c r="A99" s="24" t="inlineStr">
        <is>
          <t>2026-02-13</t>
        </is>
      </c>
      <c r="B99" s="24" t="inlineStr">
        <is>
          <t>USB-C扩展坞</t>
        </is>
      </c>
      <c r="C99" s="24" t="inlineStr">
        <is>
          <t>西南</t>
        </is>
      </c>
      <c r="D99" s="24" t="inlineStr">
        <is>
          <t>淘宝</t>
        </is>
      </c>
      <c r="E99" s="24" t="inlineStr">
        <is>
          <t>老客</t>
        </is>
      </c>
      <c r="F99" s="25" t="n">
        <v>132.42</v>
      </c>
      <c r="G99" s="26" t="n">
        <v>25</v>
      </c>
      <c r="H99" s="25" t="n">
        <v>3310.5</v>
      </c>
      <c r="I99" s="25" t="n">
        <v>1257.99</v>
      </c>
      <c r="J99" s="25" t="n">
        <v>2052.51</v>
      </c>
      <c r="K99" s="27" t="n">
        <v>0.6200000000000001</v>
      </c>
    </row>
    <row r="100">
      <c r="A100" s="24" t="inlineStr">
        <is>
          <t>2026-02-13</t>
        </is>
      </c>
      <c r="B100" s="24" t="inlineStr">
        <is>
          <t>智能手表</t>
        </is>
      </c>
      <c r="C100" s="24" t="inlineStr">
        <is>
          <t>华北</t>
        </is>
      </c>
      <c r="D100" s="24" t="inlineStr">
        <is>
          <t>私域</t>
        </is>
      </c>
      <c r="E100" s="24" t="inlineStr">
        <is>
          <t>VIP</t>
        </is>
      </c>
      <c r="F100" s="25" t="n">
        <v>405.45</v>
      </c>
      <c r="G100" s="26" t="n">
        <v>17</v>
      </c>
      <c r="H100" s="25" t="n">
        <v>6892.65</v>
      </c>
      <c r="I100" s="25" t="n">
        <v>2757.06</v>
      </c>
      <c r="J100" s="25" t="n">
        <v>4135.59</v>
      </c>
      <c r="K100" s="27" t="n">
        <v>0.6000000000000001</v>
      </c>
    </row>
    <row r="101">
      <c r="A101" s="24" t="inlineStr">
        <is>
          <t>2026-02-13</t>
        </is>
      </c>
      <c r="B101" s="24" t="inlineStr">
        <is>
          <t>智能手表</t>
        </is>
      </c>
      <c r="C101" s="24" t="inlineStr">
        <is>
          <t>华东</t>
        </is>
      </c>
      <c r="D101" s="24" t="inlineStr">
        <is>
          <t>抖音</t>
        </is>
      </c>
      <c r="E101" s="24" t="inlineStr">
        <is>
          <t>老客</t>
        </is>
      </c>
      <c r="F101" s="25" t="n">
        <v>363.59</v>
      </c>
      <c r="G101" s="26" t="n">
        <v>49</v>
      </c>
      <c r="H101" s="25" t="n">
        <v>17815.91</v>
      </c>
      <c r="I101" s="25" t="n">
        <v>7126.36</v>
      </c>
      <c r="J101" s="25" t="n">
        <v>10689.55</v>
      </c>
      <c r="K101" s="27" t="n">
        <v>0.6000002245184219</v>
      </c>
    </row>
    <row r="102">
      <c r="A102" s="14" t="inlineStr">
        <is>
          <t>2026-02-12</t>
        </is>
      </c>
      <c r="B102" s="14" t="inlineStr">
        <is>
          <t>机械键盘</t>
        </is>
      </c>
      <c r="C102" s="14" t="inlineStr">
        <is>
          <t>华东</t>
        </is>
      </c>
      <c r="D102" s="14" t="inlineStr">
        <is>
          <t>淘宝</t>
        </is>
      </c>
      <c r="E102" s="14" t="inlineStr">
        <is>
          <t>VIP</t>
        </is>
      </c>
      <c r="F102" s="30" t="n">
        <v>281.77</v>
      </c>
      <c r="G102" s="31" t="n">
        <v>40</v>
      </c>
      <c r="H102" s="30" t="n">
        <v>11270.8</v>
      </c>
      <c r="I102" s="30" t="n">
        <v>4733.74</v>
      </c>
      <c r="J102" s="30" t="n">
        <v>6537.06</v>
      </c>
      <c r="K102" s="17" t="n">
        <v>0.5799996451006141</v>
      </c>
    </row>
    <row r="103">
      <c r="A103" s="19" t="inlineStr">
        <is>
          <t>2026-02-12</t>
        </is>
      </c>
      <c r="B103" s="19" t="inlineStr">
        <is>
          <t>无线蓝牙耳机</t>
        </is>
      </c>
      <c r="C103" s="19" t="inlineStr">
        <is>
          <t>华北</t>
        </is>
      </c>
      <c r="D103" s="19" t="inlineStr">
        <is>
          <t>抖音</t>
        </is>
      </c>
      <c r="E103" s="19" t="inlineStr">
        <is>
          <t>老客</t>
        </is>
      </c>
      <c r="F103" s="28" t="n">
        <v>161.6</v>
      </c>
      <c r="G103" s="29" t="n">
        <v>26</v>
      </c>
      <c r="H103" s="28" t="n">
        <v>4201.6</v>
      </c>
      <c r="I103" s="28" t="n">
        <v>1890.72</v>
      </c>
      <c r="J103" s="28" t="n">
        <v>2310.88</v>
      </c>
      <c r="K103" s="22" t="n">
        <v>0.5499999999999999</v>
      </c>
    </row>
    <row r="104">
      <c r="A104" s="14" t="inlineStr">
        <is>
          <t>2026-02-12</t>
        </is>
      </c>
      <c r="B104" s="14" t="inlineStr">
        <is>
          <t>机械键盘</t>
        </is>
      </c>
      <c r="C104" s="14" t="inlineStr">
        <is>
          <t>华南</t>
        </is>
      </c>
      <c r="D104" s="14" t="inlineStr">
        <is>
          <t>私域</t>
        </is>
      </c>
      <c r="E104" s="14" t="inlineStr">
        <is>
          <t>新客</t>
        </is>
      </c>
      <c r="F104" s="30" t="n">
        <v>192.19</v>
      </c>
      <c r="G104" s="31" t="n">
        <v>15</v>
      </c>
      <c r="H104" s="30" t="n">
        <v>2882.85</v>
      </c>
      <c r="I104" s="30" t="n">
        <v>1210.8</v>
      </c>
      <c r="J104" s="30" t="n">
        <v>1672.05</v>
      </c>
      <c r="K104" s="17" t="n">
        <v>0.5799989593631303</v>
      </c>
    </row>
    <row r="105">
      <c r="A105" s="24" t="inlineStr">
        <is>
          <t>2026-02-11</t>
        </is>
      </c>
      <c r="B105" s="24" t="inlineStr">
        <is>
          <t>智能手表</t>
        </is>
      </c>
      <c r="C105" s="24" t="inlineStr">
        <is>
          <t>西南</t>
        </is>
      </c>
      <c r="D105" s="24" t="inlineStr">
        <is>
          <t>淘宝</t>
        </is>
      </c>
      <c r="E105" s="24" t="inlineStr">
        <is>
          <t>新客</t>
        </is>
      </c>
      <c r="F105" s="25" t="n">
        <v>326.04</v>
      </c>
      <c r="G105" s="26" t="n">
        <v>19</v>
      </c>
      <c r="H105" s="25" t="n">
        <v>6194.76</v>
      </c>
      <c r="I105" s="25" t="n">
        <v>2477.9</v>
      </c>
      <c r="J105" s="25" t="n">
        <v>3716.86</v>
      </c>
      <c r="K105" s="27" t="n">
        <v>0.6000006457070169</v>
      </c>
    </row>
    <row r="106">
      <c r="A106" s="24" t="inlineStr">
        <is>
          <t>2026-02-11</t>
        </is>
      </c>
      <c r="B106" s="24" t="inlineStr">
        <is>
          <t>USB-C扩展坞</t>
        </is>
      </c>
      <c r="C106" s="24" t="inlineStr">
        <is>
          <t>华东</t>
        </is>
      </c>
      <c r="D106" s="24" t="inlineStr">
        <is>
          <t>淘宝</t>
        </is>
      </c>
      <c r="E106" s="24" t="inlineStr">
        <is>
          <t>老客</t>
        </is>
      </c>
      <c r="F106" s="25" t="n">
        <v>117.28</v>
      </c>
      <c r="G106" s="26" t="n">
        <v>22</v>
      </c>
      <c r="H106" s="25" t="n">
        <v>2580.16</v>
      </c>
      <c r="I106" s="25" t="n">
        <v>980.46</v>
      </c>
      <c r="J106" s="25" t="n">
        <v>1599.7</v>
      </c>
      <c r="K106" s="27" t="n">
        <v>0.620000310058291</v>
      </c>
    </row>
    <row r="107">
      <c r="A107" s="24" t="inlineStr">
        <is>
          <t>2026-02-11</t>
        </is>
      </c>
      <c r="B107" s="24" t="inlineStr">
        <is>
          <t>USB-C扩展坞</t>
        </is>
      </c>
      <c r="C107" s="24" t="inlineStr">
        <is>
          <t>华东</t>
        </is>
      </c>
      <c r="D107" s="24" t="inlineStr">
        <is>
          <t>京东</t>
        </is>
      </c>
      <c r="E107" s="24" t="inlineStr">
        <is>
          <t>VIP</t>
        </is>
      </c>
      <c r="F107" s="25" t="n">
        <v>88.69</v>
      </c>
      <c r="G107" s="26" t="n">
        <v>17</v>
      </c>
      <c r="H107" s="25" t="n">
        <v>1507.73</v>
      </c>
      <c r="I107" s="25" t="n">
        <v>572.9400000000001</v>
      </c>
      <c r="J107" s="25" t="n">
        <v>934.79</v>
      </c>
      <c r="K107" s="27" t="n">
        <v>0.6199982755533152</v>
      </c>
    </row>
    <row r="108">
      <c r="A108" s="24" t="inlineStr">
        <is>
          <t>2026-02-10</t>
        </is>
      </c>
      <c r="B108" s="24" t="inlineStr">
        <is>
          <t>手机壳套装</t>
        </is>
      </c>
      <c r="C108" s="24" t="inlineStr">
        <is>
          <t>华东</t>
        </is>
      </c>
      <c r="D108" s="24" t="inlineStr">
        <is>
          <t>抖音</t>
        </is>
      </c>
      <c r="E108" s="24" t="inlineStr">
        <is>
          <t>VIP</t>
        </is>
      </c>
      <c r="F108" s="25" t="n">
        <v>50.69</v>
      </c>
      <c r="G108" s="26" t="n">
        <v>48</v>
      </c>
      <c r="H108" s="25" t="n">
        <v>2433.12</v>
      </c>
      <c r="I108" s="25" t="n">
        <v>729.9400000000001</v>
      </c>
      <c r="J108" s="25" t="n">
        <v>1703.18</v>
      </c>
      <c r="K108" s="27" t="n">
        <v>0.6999983560202538</v>
      </c>
    </row>
    <row r="109">
      <c r="A109" s="24" t="inlineStr">
        <is>
          <t>2026-02-10</t>
        </is>
      </c>
      <c r="B109" s="24" t="inlineStr">
        <is>
          <t>手机壳套装</t>
        </is>
      </c>
      <c r="C109" s="24" t="inlineStr">
        <is>
          <t>华北</t>
        </is>
      </c>
      <c r="D109" s="24" t="inlineStr">
        <is>
          <t>淘宝</t>
        </is>
      </c>
      <c r="E109" s="24" t="inlineStr">
        <is>
          <t>VIP</t>
        </is>
      </c>
      <c r="F109" s="25" t="n">
        <v>52.35</v>
      </c>
      <c r="G109" s="26" t="n">
        <v>34</v>
      </c>
      <c r="H109" s="25" t="n">
        <v>1779.9</v>
      </c>
      <c r="I109" s="25" t="n">
        <v>533.97</v>
      </c>
      <c r="J109" s="25" t="n">
        <v>1245.93</v>
      </c>
      <c r="K109" s="27" t="n">
        <v>0.7</v>
      </c>
    </row>
    <row r="110">
      <c r="A110" s="14" t="inlineStr">
        <is>
          <t>2026-02-10</t>
        </is>
      </c>
      <c r="B110" s="14" t="inlineStr">
        <is>
          <t>无线蓝牙耳机</t>
        </is>
      </c>
      <c r="C110" s="14" t="inlineStr">
        <is>
          <t>西南</t>
        </is>
      </c>
      <c r="D110" s="14" t="inlineStr">
        <is>
          <t>私域</t>
        </is>
      </c>
      <c r="E110" s="14" t="inlineStr">
        <is>
          <t>VIP</t>
        </is>
      </c>
      <c r="F110" s="30" t="n">
        <v>154.62</v>
      </c>
      <c r="G110" s="31" t="n">
        <v>23</v>
      </c>
      <c r="H110" s="30" t="n">
        <v>3556.26</v>
      </c>
      <c r="I110" s="30" t="n">
        <v>1600.32</v>
      </c>
      <c r="J110" s="30" t="n">
        <v>1955.94</v>
      </c>
      <c r="K110" s="17" t="n">
        <v>0.5499991564171348</v>
      </c>
    </row>
    <row r="111">
      <c r="A111" s="19" t="inlineStr">
        <is>
          <t>2026-02-10</t>
        </is>
      </c>
      <c r="B111" s="19" t="inlineStr">
        <is>
          <t>智能手表</t>
        </is>
      </c>
      <c r="C111" s="19" t="inlineStr">
        <is>
          <t>华东</t>
        </is>
      </c>
      <c r="D111" s="19" t="inlineStr">
        <is>
          <t>私域</t>
        </is>
      </c>
      <c r="E111" s="19" t="inlineStr">
        <is>
          <t>VIP</t>
        </is>
      </c>
      <c r="F111" s="28" t="n">
        <v>335.2</v>
      </c>
      <c r="G111" s="29" t="n">
        <v>13</v>
      </c>
      <c r="H111" s="28" t="n">
        <v>4357.6</v>
      </c>
      <c r="I111" s="28" t="n">
        <v>1743.04</v>
      </c>
      <c r="J111" s="28" t="n">
        <v>2614.56</v>
      </c>
      <c r="K111" s="22" t="n">
        <v>0.6</v>
      </c>
    </row>
    <row r="112">
      <c r="A112" s="14" t="inlineStr">
        <is>
          <t>2026-02-09</t>
        </is>
      </c>
      <c r="B112" s="14" t="inlineStr">
        <is>
          <t>便携充电宝</t>
        </is>
      </c>
      <c r="C112" s="14" t="inlineStr">
        <is>
          <t>华中</t>
        </is>
      </c>
      <c r="D112" s="14" t="inlineStr">
        <is>
          <t>私域</t>
        </is>
      </c>
      <c r="E112" s="14" t="inlineStr">
        <is>
          <t>新客</t>
        </is>
      </c>
      <c r="F112" s="30" t="n">
        <v>117.81</v>
      </c>
      <c r="G112" s="31" t="n">
        <v>28</v>
      </c>
      <c r="H112" s="30" t="n">
        <v>3298.68</v>
      </c>
      <c r="I112" s="30" t="n">
        <v>1649.34</v>
      </c>
      <c r="J112" s="30" t="n">
        <v>1649.34</v>
      </c>
      <c r="K112" s="17" t="n">
        <v>0.5</v>
      </c>
    </row>
    <row r="113">
      <c r="A113" s="24" t="inlineStr">
        <is>
          <t>2026-02-08</t>
        </is>
      </c>
      <c r="B113" s="24" t="inlineStr">
        <is>
          <t>USB-C扩展坞</t>
        </is>
      </c>
      <c r="C113" s="24" t="inlineStr">
        <is>
          <t>西南</t>
        </is>
      </c>
      <c r="D113" s="24" t="inlineStr">
        <is>
          <t>京东</t>
        </is>
      </c>
      <c r="E113" s="24" t="inlineStr">
        <is>
          <t>VIP</t>
        </is>
      </c>
      <c r="F113" s="25" t="n">
        <v>79.65000000000001</v>
      </c>
      <c r="G113" s="26" t="n">
        <v>23</v>
      </c>
      <c r="H113" s="25" t="n">
        <v>1831.95</v>
      </c>
      <c r="I113" s="25" t="n">
        <v>696.14</v>
      </c>
      <c r="J113" s="25" t="n">
        <v>1135.81</v>
      </c>
      <c r="K113" s="27" t="n">
        <v>0.6200005458664264</v>
      </c>
    </row>
    <row r="114">
      <c r="A114" s="14" t="inlineStr">
        <is>
          <t>2026-02-07</t>
        </is>
      </c>
      <c r="B114" s="14" t="inlineStr">
        <is>
          <t>机械键盘</t>
        </is>
      </c>
      <c r="C114" s="14" t="inlineStr">
        <is>
          <t>华东</t>
        </is>
      </c>
      <c r="D114" s="14" t="inlineStr">
        <is>
          <t>京东</t>
        </is>
      </c>
      <c r="E114" s="14" t="inlineStr">
        <is>
          <t>老客</t>
        </is>
      </c>
      <c r="F114" s="30" t="n">
        <v>208.17</v>
      </c>
      <c r="G114" s="31" t="n">
        <v>45</v>
      </c>
      <c r="H114" s="30" t="n">
        <v>9367.65</v>
      </c>
      <c r="I114" s="30" t="n">
        <v>3934.41</v>
      </c>
      <c r="J114" s="30" t="n">
        <v>5433.24</v>
      </c>
      <c r="K114" s="17" t="n">
        <v>0.5800003202510768</v>
      </c>
    </row>
    <row r="115">
      <c r="A115" s="24" t="inlineStr">
        <is>
          <t>2026-02-07</t>
        </is>
      </c>
      <c r="B115" s="24" t="inlineStr">
        <is>
          <t>手机壳套装</t>
        </is>
      </c>
      <c r="C115" s="24" t="inlineStr">
        <is>
          <t>华中</t>
        </is>
      </c>
      <c r="D115" s="24" t="inlineStr">
        <is>
          <t>拼多多</t>
        </is>
      </c>
      <c r="E115" s="24" t="inlineStr">
        <is>
          <t>老客</t>
        </is>
      </c>
      <c r="F115" s="25" t="n">
        <v>62.29</v>
      </c>
      <c r="G115" s="26" t="n">
        <v>32</v>
      </c>
      <c r="H115" s="25" t="n">
        <v>1993.28</v>
      </c>
      <c r="I115" s="25" t="n">
        <v>597.98</v>
      </c>
      <c r="J115" s="25" t="n">
        <v>1395.3</v>
      </c>
      <c r="K115" s="27" t="n">
        <v>0.7000020067426553</v>
      </c>
    </row>
    <row r="116">
      <c r="A116" s="14" t="inlineStr">
        <is>
          <t>2026-02-07</t>
        </is>
      </c>
      <c r="B116" s="14" t="inlineStr">
        <is>
          <t>便携充电宝</t>
        </is>
      </c>
      <c r="C116" s="14" t="inlineStr">
        <is>
          <t>华北</t>
        </is>
      </c>
      <c r="D116" s="14" t="inlineStr">
        <is>
          <t>抖音</t>
        </is>
      </c>
      <c r="E116" s="14" t="inlineStr">
        <is>
          <t>老客</t>
        </is>
      </c>
      <c r="F116" s="30" t="n">
        <v>122.12</v>
      </c>
      <c r="G116" s="31" t="n">
        <v>31</v>
      </c>
      <c r="H116" s="30" t="n">
        <v>3785.72</v>
      </c>
      <c r="I116" s="30" t="n">
        <v>1892.86</v>
      </c>
      <c r="J116" s="30" t="n">
        <v>1892.86</v>
      </c>
      <c r="K116" s="17" t="n">
        <v>0.5</v>
      </c>
    </row>
    <row r="117">
      <c r="A117" s="24" t="inlineStr">
        <is>
          <t>2026-02-07</t>
        </is>
      </c>
      <c r="B117" s="24" t="inlineStr">
        <is>
          <t>手机壳套装</t>
        </is>
      </c>
      <c r="C117" s="24" t="inlineStr">
        <is>
          <t>华南</t>
        </is>
      </c>
      <c r="D117" s="24" t="inlineStr">
        <is>
          <t>抖音</t>
        </is>
      </c>
      <c r="E117" s="24" t="inlineStr">
        <is>
          <t>VIP</t>
        </is>
      </c>
      <c r="F117" s="25" t="n">
        <v>48.47</v>
      </c>
      <c r="G117" s="26" t="n">
        <v>13</v>
      </c>
      <c r="H117" s="25" t="n">
        <v>630.11</v>
      </c>
      <c r="I117" s="25" t="n">
        <v>189.03</v>
      </c>
      <c r="J117" s="25" t="n">
        <v>441.08</v>
      </c>
      <c r="K117" s="27" t="n">
        <v>0.7000047610734633</v>
      </c>
    </row>
    <row r="118">
      <c r="A118" s="14" t="inlineStr">
        <is>
          <t>2026-02-06</t>
        </is>
      </c>
      <c r="B118" s="14" t="inlineStr">
        <is>
          <t>便携充电宝</t>
        </is>
      </c>
      <c r="C118" s="14" t="inlineStr">
        <is>
          <t>西南</t>
        </is>
      </c>
      <c r="D118" s="14" t="inlineStr">
        <is>
          <t>私域</t>
        </is>
      </c>
      <c r="E118" s="14" t="inlineStr">
        <is>
          <t>VIP</t>
        </is>
      </c>
      <c r="F118" s="30" t="n">
        <v>123.12</v>
      </c>
      <c r="G118" s="31" t="n">
        <v>30</v>
      </c>
      <c r="H118" s="30" t="n">
        <v>3693.6</v>
      </c>
      <c r="I118" s="30" t="n">
        <v>1846.8</v>
      </c>
      <c r="J118" s="30" t="n">
        <v>1846.8</v>
      </c>
      <c r="K118" s="17" t="n">
        <v>0.5</v>
      </c>
    </row>
    <row r="119">
      <c r="A119" s="19" t="inlineStr">
        <is>
          <t>2026-02-06</t>
        </is>
      </c>
      <c r="B119" s="19" t="inlineStr">
        <is>
          <t>无线蓝牙耳机</t>
        </is>
      </c>
      <c r="C119" s="19" t="inlineStr">
        <is>
          <t>华南</t>
        </is>
      </c>
      <c r="D119" s="19" t="inlineStr">
        <is>
          <t>京东</t>
        </is>
      </c>
      <c r="E119" s="19" t="inlineStr">
        <is>
          <t>VIP</t>
        </is>
      </c>
      <c r="F119" s="28" t="n">
        <v>185.72</v>
      </c>
      <c r="G119" s="29" t="n">
        <v>24</v>
      </c>
      <c r="H119" s="28" t="n">
        <v>4457.28</v>
      </c>
      <c r="I119" s="28" t="n">
        <v>2005.78</v>
      </c>
      <c r="J119" s="28" t="n">
        <v>2451.5</v>
      </c>
      <c r="K119" s="22" t="n">
        <v>0.5499991025917151</v>
      </c>
    </row>
    <row r="120">
      <c r="A120" s="14" t="inlineStr">
        <is>
          <t>2026-02-06</t>
        </is>
      </c>
      <c r="B120" s="14" t="inlineStr">
        <is>
          <t>便携充电宝</t>
        </is>
      </c>
      <c r="C120" s="14" t="inlineStr">
        <is>
          <t>西南</t>
        </is>
      </c>
      <c r="D120" s="14" t="inlineStr">
        <is>
          <t>抖音</t>
        </is>
      </c>
      <c r="E120" s="14" t="inlineStr">
        <is>
          <t>老客</t>
        </is>
      </c>
      <c r="F120" s="30" t="n">
        <v>96.59999999999999</v>
      </c>
      <c r="G120" s="31" t="n">
        <v>37</v>
      </c>
      <c r="H120" s="30" t="n">
        <v>3574.2</v>
      </c>
      <c r="I120" s="30" t="n">
        <v>1787.1</v>
      </c>
      <c r="J120" s="30" t="n">
        <v>1787.1</v>
      </c>
      <c r="K120" s="17" t="n">
        <v>0.5</v>
      </c>
    </row>
    <row r="121">
      <c r="A121" s="24" t="inlineStr">
        <is>
          <t>2026-02-05</t>
        </is>
      </c>
      <c r="B121" s="24" t="inlineStr">
        <is>
          <t>手机壳套装</t>
        </is>
      </c>
      <c r="C121" s="24" t="inlineStr">
        <is>
          <t>华南</t>
        </is>
      </c>
      <c r="D121" s="24" t="inlineStr">
        <is>
          <t>淘宝</t>
        </is>
      </c>
      <c r="E121" s="24" t="inlineStr">
        <is>
          <t>新客</t>
        </is>
      </c>
      <c r="F121" s="25" t="n">
        <v>33.45</v>
      </c>
      <c r="G121" s="26" t="n">
        <v>48</v>
      </c>
      <c r="H121" s="25" t="n">
        <v>1605.6</v>
      </c>
      <c r="I121" s="25" t="n">
        <v>481.68</v>
      </c>
      <c r="J121" s="25" t="n">
        <v>1123.92</v>
      </c>
      <c r="K121" s="27" t="n">
        <v>0.7000000000000001</v>
      </c>
    </row>
    <row r="122">
      <c r="A122" s="24" t="inlineStr">
        <is>
          <t>2026-02-05</t>
        </is>
      </c>
      <c r="B122" s="24" t="inlineStr">
        <is>
          <t>USB-C扩展坞</t>
        </is>
      </c>
      <c r="C122" s="24" t="inlineStr">
        <is>
          <t>西南</t>
        </is>
      </c>
      <c r="D122" s="24" t="inlineStr">
        <is>
          <t>淘宝</t>
        </is>
      </c>
      <c r="E122" s="24" t="inlineStr">
        <is>
          <t>新客</t>
        </is>
      </c>
      <c r="F122" s="25" t="n">
        <v>94.42</v>
      </c>
      <c r="G122" s="26" t="n">
        <v>12</v>
      </c>
      <c r="H122" s="25" t="n">
        <v>1133.04</v>
      </c>
      <c r="I122" s="25" t="n">
        <v>430.56</v>
      </c>
      <c r="J122" s="25" t="n">
        <v>702.48</v>
      </c>
      <c r="K122" s="27" t="n">
        <v>0.6199957636094048</v>
      </c>
    </row>
    <row r="123">
      <c r="A123" s="19" t="inlineStr">
        <is>
          <t>2026-02-04</t>
        </is>
      </c>
      <c r="B123" s="19" t="inlineStr">
        <is>
          <t>便携充电宝</t>
        </is>
      </c>
      <c r="C123" s="19" t="inlineStr">
        <is>
          <t>华东</t>
        </is>
      </c>
      <c r="D123" s="19" t="inlineStr">
        <is>
          <t>拼多多</t>
        </is>
      </c>
      <c r="E123" s="19" t="inlineStr">
        <is>
          <t>VIP</t>
        </is>
      </c>
      <c r="F123" s="28" t="n">
        <v>123.74</v>
      </c>
      <c r="G123" s="29" t="n">
        <v>33</v>
      </c>
      <c r="H123" s="28" t="n">
        <v>4083.42</v>
      </c>
      <c r="I123" s="28" t="n">
        <v>2041.71</v>
      </c>
      <c r="J123" s="28" t="n">
        <v>2041.71</v>
      </c>
      <c r="K123" s="22" t="n">
        <v>0.5</v>
      </c>
    </row>
    <row r="124">
      <c r="A124" s="14" t="inlineStr">
        <is>
          <t>2026-02-04</t>
        </is>
      </c>
      <c r="B124" s="14" t="inlineStr">
        <is>
          <t>无线蓝牙耳机</t>
        </is>
      </c>
      <c r="C124" s="14" t="inlineStr">
        <is>
          <t>华东</t>
        </is>
      </c>
      <c r="D124" s="14" t="inlineStr">
        <is>
          <t>淘宝</t>
        </is>
      </c>
      <c r="E124" s="14" t="inlineStr">
        <is>
          <t>VIP</t>
        </is>
      </c>
      <c r="F124" s="30" t="n">
        <v>177.56</v>
      </c>
      <c r="G124" s="31" t="n">
        <v>26</v>
      </c>
      <c r="H124" s="30" t="n">
        <v>4616.56</v>
      </c>
      <c r="I124" s="30" t="n">
        <v>2077.45</v>
      </c>
      <c r="J124" s="30" t="n">
        <v>2539.11</v>
      </c>
      <c r="K124" s="17" t="n">
        <v>0.5500004332230058</v>
      </c>
    </row>
    <row r="125">
      <c r="A125" s="19" t="inlineStr">
        <is>
          <t>2026-02-04</t>
        </is>
      </c>
      <c r="B125" s="19" t="inlineStr">
        <is>
          <t>无线蓝牙耳机</t>
        </is>
      </c>
      <c r="C125" s="19" t="inlineStr">
        <is>
          <t>华北</t>
        </is>
      </c>
      <c r="D125" s="19" t="inlineStr">
        <is>
          <t>拼多多</t>
        </is>
      </c>
      <c r="E125" s="19" t="inlineStr">
        <is>
          <t>VIP</t>
        </is>
      </c>
      <c r="F125" s="28" t="n">
        <v>167.49</v>
      </c>
      <c r="G125" s="29" t="n">
        <v>16</v>
      </c>
      <c r="H125" s="28" t="n">
        <v>2679.84</v>
      </c>
      <c r="I125" s="28" t="n">
        <v>1205.93</v>
      </c>
      <c r="J125" s="28" t="n">
        <v>1473.91</v>
      </c>
      <c r="K125" s="22" t="n">
        <v>0.5499992536867873</v>
      </c>
    </row>
    <row r="126">
      <c r="A126" s="24" t="inlineStr">
        <is>
          <t>2026-02-04</t>
        </is>
      </c>
      <c r="B126" s="24" t="inlineStr">
        <is>
          <t>手机壳套装</t>
        </is>
      </c>
      <c r="C126" s="24" t="inlineStr">
        <is>
          <t>华北</t>
        </is>
      </c>
      <c r="D126" s="24" t="inlineStr">
        <is>
          <t>抖音</t>
        </is>
      </c>
      <c r="E126" s="24" t="inlineStr">
        <is>
          <t>老客</t>
        </is>
      </c>
      <c r="F126" s="25" t="n">
        <v>33.58</v>
      </c>
      <c r="G126" s="26" t="n">
        <v>35</v>
      </c>
      <c r="H126" s="25" t="n">
        <v>1175.3</v>
      </c>
      <c r="I126" s="25" t="n">
        <v>352.59</v>
      </c>
      <c r="J126" s="25" t="n">
        <v>822.71</v>
      </c>
      <c r="K126" s="27" t="n">
        <v>0.7000000000000001</v>
      </c>
    </row>
    <row r="127">
      <c r="A127" s="24" t="inlineStr">
        <is>
          <t>2026-02-04</t>
        </is>
      </c>
      <c r="B127" s="24" t="inlineStr">
        <is>
          <t>手机壳套装</t>
        </is>
      </c>
      <c r="C127" s="24" t="inlineStr">
        <is>
          <t>华中</t>
        </is>
      </c>
      <c r="D127" s="24" t="inlineStr">
        <is>
          <t>私域</t>
        </is>
      </c>
      <c r="E127" s="24" t="inlineStr">
        <is>
          <t>老客</t>
        </is>
      </c>
      <c r="F127" s="25" t="n">
        <v>41.16</v>
      </c>
      <c r="G127" s="26" t="n">
        <v>26</v>
      </c>
      <c r="H127" s="25" t="n">
        <v>1070.16</v>
      </c>
      <c r="I127" s="25" t="n">
        <v>321.05</v>
      </c>
      <c r="J127" s="25" t="n">
        <v>749.11</v>
      </c>
      <c r="K127" s="27" t="n">
        <v>0.6999981311205801</v>
      </c>
    </row>
    <row r="128">
      <c r="A128" s="14" t="inlineStr">
        <is>
          <t>2026-02-03</t>
        </is>
      </c>
      <c r="B128" s="14" t="inlineStr">
        <is>
          <t>便携充电宝</t>
        </is>
      </c>
      <c r="C128" s="14" t="inlineStr">
        <is>
          <t>华中</t>
        </is>
      </c>
      <c r="D128" s="14" t="inlineStr">
        <is>
          <t>京东</t>
        </is>
      </c>
      <c r="E128" s="14" t="inlineStr">
        <is>
          <t>VIP</t>
        </is>
      </c>
      <c r="F128" s="30" t="n">
        <v>102.83</v>
      </c>
      <c r="G128" s="31" t="n">
        <v>44</v>
      </c>
      <c r="H128" s="30" t="n">
        <v>4524.52</v>
      </c>
      <c r="I128" s="30" t="n">
        <v>2262.26</v>
      </c>
      <c r="J128" s="30" t="n">
        <v>2262.26</v>
      </c>
      <c r="K128" s="17" t="n">
        <v>0.5</v>
      </c>
    </row>
    <row r="129">
      <c r="A129" s="19" t="inlineStr">
        <is>
          <t>2026-02-03</t>
        </is>
      </c>
      <c r="B129" s="19" t="inlineStr">
        <is>
          <t>无线蓝牙耳机</t>
        </is>
      </c>
      <c r="C129" s="19" t="inlineStr">
        <is>
          <t>华中</t>
        </is>
      </c>
      <c r="D129" s="19" t="inlineStr">
        <is>
          <t>抖音</t>
        </is>
      </c>
      <c r="E129" s="19" t="inlineStr">
        <is>
          <t>老客</t>
        </is>
      </c>
      <c r="F129" s="28" t="n">
        <v>175.98</v>
      </c>
      <c r="G129" s="29" t="n">
        <v>1</v>
      </c>
      <c r="H129" s="28" t="n">
        <v>175.98</v>
      </c>
      <c r="I129" s="28" t="n">
        <v>79.19</v>
      </c>
      <c r="J129" s="28" t="n">
        <v>96.79000000000001</v>
      </c>
      <c r="K129" s="22" t="n">
        <v>0.5500056824639165</v>
      </c>
    </row>
    <row r="130">
      <c r="A130" s="14" t="inlineStr">
        <is>
          <t>2026-02-03</t>
        </is>
      </c>
      <c r="B130" s="14" t="inlineStr">
        <is>
          <t>机械键盘</t>
        </is>
      </c>
      <c r="C130" s="14" t="inlineStr">
        <is>
          <t>华东</t>
        </is>
      </c>
      <c r="D130" s="14" t="inlineStr">
        <is>
          <t>淘宝</t>
        </is>
      </c>
      <c r="E130" s="14" t="inlineStr">
        <is>
          <t>VIP</t>
        </is>
      </c>
      <c r="F130" s="30" t="n">
        <v>213.75</v>
      </c>
      <c r="G130" s="31" t="n">
        <v>12</v>
      </c>
      <c r="H130" s="30" t="n">
        <v>2565</v>
      </c>
      <c r="I130" s="30" t="n">
        <v>1077.3</v>
      </c>
      <c r="J130" s="30" t="n">
        <v>1487.7</v>
      </c>
      <c r="K130" s="17" t="n">
        <v>0.5800000000000001</v>
      </c>
    </row>
    <row r="131">
      <c r="A131" s="24" t="inlineStr">
        <is>
          <t>2026-02-03</t>
        </is>
      </c>
      <c r="B131" s="24" t="inlineStr">
        <is>
          <t>USB-C扩展坞</t>
        </is>
      </c>
      <c r="C131" s="24" t="inlineStr">
        <is>
          <t>华中</t>
        </is>
      </c>
      <c r="D131" s="24" t="inlineStr">
        <is>
          <t>淘宝</t>
        </is>
      </c>
      <c r="E131" s="24" t="inlineStr">
        <is>
          <t>VIP</t>
        </is>
      </c>
      <c r="F131" s="25" t="n">
        <v>96.40000000000001</v>
      </c>
      <c r="G131" s="26" t="n">
        <v>1</v>
      </c>
      <c r="H131" s="25" t="n">
        <v>96.40000000000001</v>
      </c>
      <c r="I131" s="25" t="n">
        <v>36.63</v>
      </c>
      <c r="J131" s="25" t="n">
        <v>59.77</v>
      </c>
      <c r="K131" s="27" t="n">
        <v>0.6200207468879668</v>
      </c>
    </row>
    <row r="132">
      <c r="A132" s="24" t="inlineStr">
        <is>
          <t>2026-02-03</t>
        </is>
      </c>
      <c r="B132" s="24" t="inlineStr">
        <is>
          <t>手机壳套装</t>
        </is>
      </c>
      <c r="C132" s="24" t="inlineStr">
        <is>
          <t>华东</t>
        </is>
      </c>
      <c r="D132" s="24" t="inlineStr">
        <is>
          <t>抖音</t>
        </is>
      </c>
      <c r="E132" s="24" t="inlineStr">
        <is>
          <t>VIP</t>
        </is>
      </c>
      <c r="F132" s="25" t="n">
        <v>33.14</v>
      </c>
      <c r="G132" s="26" t="n">
        <v>9</v>
      </c>
      <c r="H132" s="25" t="n">
        <v>298.26</v>
      </c>
      <c r="I132" s="25" t="n">
        <v>89.48</v>
      </c>
      <c r="J132" s="25" t="n">
        <v>208.78</v>
      </c>
      <c r="K132" s="27" t="n">
        <v>0.6999932944410917</v>
      </c>
    </row>
    <row r="133">
      <c r="A133" s="19" t="inlineStr">
        <is>
          <t>2026-02-02</t>
        </is>
      </c>
      <c r="B133" s="19" t="inlineStr">
        <is>
          <t>机械键盘</t>
        </is>
      </c>
      <c r="C133" s="19" t="inlineStr">
        <is>
          <t>华中</t>
        </is>
      </c>
      <c r="D133" s="19" t="inlineStr">
        <is>
          <t>抖音</t>
        </is>
      </c>
      <c r="E133" s="19" t="inlineStr">
        <is>
          <t>VIP</t>
        </is>
      </c>
      <c r="F133" s="28" t="n">
        <v>348.22</v>
      </c>
      <c r="G133" s="29" t="n">
        <v>34</v>
      </c>
      <c r="H133" s="28" t="n">
        <v>11839.48</v>
      </c>
      <c r="I133" s="28" t="n">
        <v>4972.58</v>
      </c>
      <c r="J133" s="28" t="n">
        <v>6866.9</v>
      </c>
      <c r="K133" s="22" t="n">
        <v>0.5800001351410704</v>
      </c>
    </row>
    <row r="134">
      <c r="A134" s="24" t="inlineStr">
        <is>
          <t>2026-02-02</t>
        </is>
      </c>
      <c r="B134" s="24" t="inlineStr">
        <is>
          <t>USB-C扩展坞</t>
        </is>
      </c>
      <c r="C134" s="24" t="inlineStr">
        <is>
          <t>华东</t>
        </is>
      </c>
      <c r="D134" s="24" t="inlineStr">
        <is>
          <t>京东</t>
        </is>
      </c>
      <c r="E134" s="24" t="inlineStr">
        <is>
          <t>新客</t>
        </is>
      </c>
      <c r="F134" s="25" t="n">
        <v>109.61</v>
      </c>
      <c r="G134" s="26" t="n">
        <v>27</v>
      </c>
      <c r="H134" s="25" t="n">
        <v>2959.47</v>
      </c>
      <c r="I134" s="25" t="n">
        <v>1124.6</v>
      </c>
      <c r="J134" s="25" t="n">
        <v>1834.87</v>
      </c>
      <c r="K134" s="27" t="n">
        <v>0.6199995269423242</v>
      </c>
    </row>
    <row r="135">
      <c r="A135" s="24" t="inlineStr">
        <is>
          <t>2026-02-02</t>
        </is>
      </c>
      <c r="B135" s="24" t="inlineStr">
        <is>
          <t>手机壳套装</t>
        </is>
      </c>
      <c r="C135" s="24" t="inlineStr">
        <is>
          <t>西南</t>
        </is>
      </c>
      <c r="D135" s="24" t="inlineStr">
        <is>
          <t>拼多多</t>
        </is>
      </c>
      <c r="E135" s="24" t="inlineStr">
        <is>
          <t>新客</t>
        </is>
      </c>
      <c r="F135" s="25" t="n">
        <v>67.48</v>
      </c>
      <c r="G135" s="26" t="n">
        <v>45</v>
      </c>
      <c r="H135" s="25" t="n">
        <v>3036.6</v>
      </c>
      <c r="I135" s="25" t="n">
        <v>910.98</v>
      </c>
      <c r="J135" s="25" t="n">
        <v>2125.62</v>
      </c>
      <c r="K135" s="27" t="n">
        <v>0.7</v>
      </c>
    </row>
    <row r="136">
      <c r="A136" s="14" t="inlineStr">
        <is>
          <t>2026-02-01</t>
        </is>
      </c>
      <c r="B136" s="14" t="inlineStr">
        <is>
          <t>无线蓝牙耳机</t>
        </is>
      </c>
      <c r="C136" s="14" t="inlineStr">
        <is>
          <t>西南</t>
        </is>
      </c>
      <c r="D136" s="14" t="inlineStr">
        <is>
          <t>私域</t>
        </is>
      </c>
      <c r="E136" s="14" t="inlineStr">
        <is>
          <t>VIP</t>
        </is>
      </c>
      <c r="F136" s="30" t="n">
        <v>119.68</v>
      </c>
      <c r="G136" s="31" t="n">
        <v>29</v>
      </c>
      <c r="H136" s="30" t="n">
        <v>3470.72</v>
      </c>
      <c r="I136" s="30" t="n">
        <v>1561.82</v>
      </c>
      <c r="J136" s="30" t="n">
        <v>1908.9</v>
      </c>
      <c r="K136" s="17" t="n">
        <v>0.550001152498617</v>
      </c>
    </row>
    <row r="137">
      <c r="A137" s="19" t="inlineStr">
        <is>
          <t>2026-02-01</t>
        </is>
      </c>
      <c r="B137" s="19" t="inlineStr">
        <is>
          <t>便携充电宝</t>
        </is>
      </c>
      <c r="C137" s="19" t="inlineStr">
        <is>
          <t>华中</t>
        </is>
      </c>
      <c r="D137" s="19" t="inlineStr">
        <is>
          <t>京东</t>
        </is>
      </c>
      <c r="E137" s="19" t="inlineStr">
        <is>
          <t>VIP</t>
        </is>
      </c>
      <c r="F137" s="28" t="n">
        <v>78.98999999999999</v>
      </c>
      <c r="G137" s="29" t="n">
        <v>10</v>
      </c>
      <c r="H137" s="28" t="n">
        <v>789.9</v>
      </c>
      <c r="I137" s="28" t="n">
        <v>394.95</v>
      </c>
      <c r="J137" s="28" t="n">
        <v>394.95</v>
      </c>
      <c r="K137" s="22" t="n">
        <v>0.5</v>
      </c>
    </row>
    <row r="138">
      <c r="A138" s="24" t="inlineStr">
        <is>
          <t>2026-02-01</t>
        </is>
      </c>
      <c r="B138" s="24" t="inlineStr">
        <is>
          <t>手机壳套装</t>
        </is>
      </c>
      <c r="C138" s="24" t="inlineStr">
        <is>
          <t>华南</t>
        </is>
      </c>
      <c r="D138" s="24" t="inlineStr">
        <is>
          <t>淘宝</t>
        </is>
      </c>
      <c r="E138" s="24" t="inlineStr">
        <is>
          <t>VIP</t>
        </is>
      </c>
      <c r="F138" s="25" t="n">
        <v>42.57</v>
      </c>
      <c r="G138" s="26" t="n">
        <v>7</v>
      </c>
      <c r="H138" s="25" t="n">
        <v>297.99</v>
      </c>
      <c r="I138" s="25" t="n">
        <v>89.40000000000001</v>
      </c>
      <c r="J138" s="25" t="n">
        <v>208.59</v>
      </c>
      <c r="K138" s="27" t="n">
        <v>0.6999899325480721</v>
      </c>
    </row>
    <row r="139">
      <c r="A139" s="19" t="inlineStr">
        <is>
          <t>2026-01-31</t>
        </is>
      </c>
      <c r="B139" s="19" t="inlineStr">
        <is>
          <t>便携充电宝</t>
        </is>
      </c>
      <c r="C139" s="19" t="inlineStr">
        <is>
          <t>华中</t>
        </is>
      </c>
      <c r="D139" s="19" t="inlineStr">
        <is>
          <t>京东</t>
        </is>
      </c>
      <c r="E139" s="19" t="inlineStr">
        <is>
          <t>新客</t>
        </is>
      </c>
      <c r="F139" s="28" t="n">
        <v>118.57</v>
      </c>
      <c r="G139" s="29" t="n">
        <v>45</v>
      </c>
      <c r="H139" s="28" t="n">
        <v>5335.65</v>
      </c>
      <c r="I139" s="28" t="n">
        <v>2667.82</v>
      </c>
      <c r="J139" s="28" t="n">
        <v>2667.83</v>
      </c>
      <c r="K139" s="22" t="n">
        <v>0.5000009370929502</v>
      </c>
    </row>
    <row r="140">
      <c r="A140" s="24" t="inlineStr">
        <is>
          <t>2026-01-31</t>
        </is>
      </c>
      <c r="B140" s="24" t="inlineStr">
        <is>
          <t>USB-C扩展坞</t>
        </is>
      </c>
      <c r="C140" s="24" t="inlineStr">
        <is>
          <t>西南</t>
        </is>
      </c>
      <c r="D140" s="24" t="inlineStr">
        <is>
          <t>京东</t>
        </is>
      </c>
      <c r="E140" s="24" t="inlineStr">
        <is>
          <t>老客</t>
        </is>
      </c>
      <c r="F140" s="25" t="n">
        <v>132.74</v>
      </c>
      <c r="G140" s="26" t="n">
        <v>49</v>
      </c>
      <c r="H140" s="25" t="n">
        <v>6504.26</v>
      </c>
      <c r="I140" s="25" t="n">
        <v>2471.62</v>
      </c>
      <c r="J140" s="25" t="n">
        <v>4032.64</v>
      </c>
      <c r="K140" s="27" t="n">
        <v>0.6199998155055302</v>
      </c>
    </row>
    <row r="141">
      <c r="A141" s="24" t="inlineStr">
        <is>
          <t>2026-01-31</t>
        </is>
      </c>
      <c r="B141" s="24" t="inlineStr">
        <is>
          <t>USB-C扩展坞</t>
        </is>
      </c>
      <c r="C141" s="24" t="inlineStr">
        <is>
          <t>西南</t>
        </is>
      </c>
      <c r="D141" s="24" t="inlineStr">
        <is>
          <t>私域</t>
        </is>
      </c>
      <c r="E141" s="24" t="inlineStr">
        <is>
          <t>老客</t>
        </is>
      </c>
      <c r="F141" s="25" t="n">
        <v>172.87</v>
      </c>
      <c r="G141" s="26" t="n">
        <v>7</v>
      </c>
      <c r="H141" s="25" t="n">
        <v>1210.09</v>
      </c>
      <c r="I141" s="25" t="n">
        <v>459.83</v>
      </c>
      <c r="J141" s="25" t="n">
        <v>750.26</v>
      </c>
      <c r="K141" s="27" t="n">
        <v>0.6200034708162203</v>
      </c>
    </row>
    <row r="142">
      <c r="A142" s="14" t="inlineStr">
        <is>
          <t>2026-01-30</t>
        </is>
      </c>
      <c r="B142" s="14" t="inlineStr">
        <is>
          <t>无线蓝牙耳机</t>
        </is>
      </c>
      <c r="C142" s="14" t="inlineStr">
        <is>
          <t>华中</t>
        </is>
      </c>
      <c r="D142" s="14" t="inlineStr">
        <is>
          <t>私域</t>
        </is>
      </c>
      <c r="E142" s="14" t="inlineStr">
        <is>
          <t>新客</t>
        </is>
      </c>
      <c r="F142" s="30" t="n">
        <v>92.28</v>
      </c>
      <c r="G142" s="31" t="n">
        <v>14</v>
      </c>
      <c r="H142" s="30" t="n">
        <v>1291.92</v>
      </c>
      <c r="I142" s="30" t="n">
        <v>581.36</v>
      </c>
      <c r="J142" s="30" t="n">
        <v>710.5599999999999</v>
      </c>
      <c r="K142" s="17" t="n">
        <v>0.5500030961669452</v>
      </c>
    </row>
    <row r="143">
      <c r="A143" s="24" t="inlineStr">
        <is>
          <t>2026-01-29</t>
        </is>
      </c>
      <c r="B143" s="24" t="inlineStr">
        <is>
          <t>手机壳套装</t>
        </is>
      </c>
      <c r="C143" s="24" t="inlineStr">
        <is>
          <t>西南</t>
        </is>
      </c>
      <c r="D143" s="24" t="inlineStr">
        <is>
          <t>淘宝</t>
        </is>
      </c>
      <c r="E143" s="24" t="inlineStr">
        <is>
          <t>老客</t>
        </is>
      </c>
      <c r="F143" s="25" t="n">
        <v>58.39</v>
      </c>
      <c r="G143" s="26" t="n">
        <v>39</v>
      </c>
      <c r="H143" s="25" t="n">
        <v>2277.21</v>
      </c>
      <c r="I143" s="25" t="n">
        <v>683.16</v>
      </c>
      <c r="J143" s="25" t="n">
        <v>1594.05</v>
      </c>
      <c r="K143" s="27" t="n">
        <v>0.7000013174015571</v>
      </c>
    </row>
    <row r="144">
      <c r="A144" s="14" t="inlineStr">
        <is>
          <t>2026-01-29</t>
        </is>
      </c>
      <c r="B144" s="14" t="inlineStr">
        <is>
          <t>无线蓝牙耳机</t>
        </is>
      </c>
      <c r="C144" s="14" t="inlineStr">
        <is>
          <t>华东</t>
        </is>
      </c>
      <c r="D144" s="14" t="inlineStr">
        <is>
          <t>京东</t>
        </is>
      </c>
      <c r="E144" s="14" t="inlineStr">
        <is>
          <t>新客</t>
        </is>
      </c>
      <c r="F144" s="30" t="n">
        <v>149.75</v>
      </c>
      <c r="G144" s="31" t="n">
        <v>6</v>
      </c>
      <c r="H144" s="30" t="n">
        <v>898.5</v>
      </c>
      <c r="I144" s="30" t="n">
        <v>404.32</v>
      </c>
      <c r="J144" s="30" t="n">
        <v>494.18</v>
      </c>
      <c r="K144" s="17" t="n">
        <v>0.5500055648302726</v>
      </c>
    </row>
    <row r="145">
      <c r="A145" s="24" t="inlineStr">
        <is>
          <t>2026-01-29</t>
        </is>
      </c>
      <c r="B145" s="24" t="inlineStr">
        <is>
          <t>智能手表</t>
        </is>
      </c>
      <c r="C145" s="24" t="inlineStr">
        <is>
          <t>华南</t>
        </is>
      </c>
      <c r="D145" s="24" t="inlineStr">
        <is>
          <t>私域</t>
        </is>
      </c>
      <c r="E145" s="24" t="inlineStr">
        <is>
          <t>老客</t>
        </is>
      </c>
      <c r="F145" s="25" t="n">
        <v>481.12</v>
      </c>
      <c r="G145" s="26" t="n">
        <v>23</v>
      </c>
      <c r="H145" s="25" t="n">
        <v>11065.76</v>
      </c>
      <c r="I145" s="25" t="n">
        <v>4426.3</v>
      </c>
      <c r="J145" s="25" t="n">
        <v>6639.46</v>
      </c>
      <c r="K145" s="27" t="n">
        <v>0.6000003614753979</v>
      </c>
    </row>
    <row r="146">
      <c r="A146" s="24" t="inlineStr">
        <is>
          <t>2026-01-29</t>
        </is>
      </c>
      <c r="B146" s="24" t="inlineStr">
        <is>
          <t>手机壳套装</t>
        </is>
      </c>
      <c r="C146" s="24" t="inlineStr">
        <is>
          <t>华东</t>
        </is>
      </c>
      <c r="D146" s="24" t="inlineStr">
        <is>
          <t>抖音</t>
        </is>
      </c>
      <c r="E146" s="24" t="inlineStr">
        <is>
          <t>新客</t>
        </is>
      </c>
      <c r="F146" s="25" t="n">
        <v>50.58</v>
      </c>
      <c r="G146" s="26" t="n">
        <v>23</v>
      </c>
      <c r="H146" s="25" t="n">
        <v>1163.34</v>
      </c>
      <c r="I146" s="25" t="n">
        <v>349</v>
      </c>
      <c r="J146" s="25" t="n">
        <v>814.34</v>
      </c>
      <c r="K146" s="27" t="n">
        <v>0.7000017191878557</v>
      </c>
    </row>
    <row r="147">
      <c r="A147" s="24" t="inlineStr">
        <is>
          <t>2026-01-28</t>
        </is>
      </c>
      <c r="B147" s="24" t="inlineStr">
        <is>
          <t>USB-C扩展坞</t>
        </is>
      </c>
      <c r="C147" s="24" t="inlineStr">
        <is>
          <t>西南</t>
        </is>
      </c>
      <c r="D147" s="24" t="inlineStr">
        <is>
          <t>拼多多</t>
        </is>
      </c>
      <c r="E147" s="24" t="inlineStr">
        <is>
          <t>老客</t>
        </is>
      </c>
      <c r="F147" s="25" t="n">
        <v>152.64</v>
      </c>
      <c r="G147" s="26" t="n">
        <v>37</v>
      </c>
      <c r="H147" s="25" t="n">
        <v>5647.68</v>
      </c>
      <c r="I147" s="25" t="n">
        <v>2146.12</v>
      </c>
      <c r="J147" s="25" t="n">
        <v>3501.56</v>
      </c>
      <c r="K147" s="27" t="n">
        <v>0.6199997166978298</v>
      </c>
    </row>
    <row r="148">
      <c r="A148" s="14" t="inlineStr">
        <is>
          <t>2026-01-28</t>
        </is>
      </c>
      <c r="B148" s="14" t="inlineStr">
        <is>
          <t>无线蓝牙耳机</t>
        </is>
      </c>
      <c r="C148" s="14" t="inlineStr">
        <is>
          <t>西南</t>
        </is>
      </c>
      <c r="D148" s="14" t="inlineStr">
        <is>
          <t>拼多多</t>
        </is>
      </c>
      <c r="E148" s="14" t="inlineStr">
        <is>
          <t>老客</t>
        </is>
      </c>
      <c r="F148" s="30" t="n">
        <v>117.62</v>
      </c>
      <c r="G148" s="31" t="n">
        <v>21</v>
      </c>
      <c r="H148" s="30" t="n">
        <v>2470.02</v>
      </c>
      <c r="I148" s="30" t="n">
        <v>1111.51</v>
      </c>
      <c r="J148" s="30" t="n">
        <v>1358.51</v>
      </c>
      <c r="K148" s="17" t="n">
        <v>0.5499995951449785</v>
      </c>
    </row>
    <row r="149">
      <c r="A149" s="19" t="inlineStr">
        <is>
          <t>2026-01-27</t>
        </is>
      </c>
      <c r="B149" s="19" t="inlineStr">
        <is>
          <t>机械键盘</t>
        </is>
      </c>
      <c r="C149" s="19" t="inlineStr">
        <is>
          <t>华南</t>
        </is>
      </c>
      <c r="D149" s="19" t="inlineStr">
        <is>
          <t>拼多多</t>
        </is>
      </c>
      <c r="E149" s="19" t="inlineStr">
        <is>
          <t>VIP</t>
        </is>
      </c>
      <c r="F149" s="28" t="n">
        <v>341.02</v>
      </c>
      <c r="G149" s="29" t="n">
        <v>7</v>
      </c>
      <c r="H149" s="28" t="n">
        <v>2387.14</v>
      </c>
      <c r="I149" s="28" t="n">
        <v>1002.6</v>
      </c>
      <c r="J149" s="28" t="n">
        <v>1384.54</v>
      </c>
      <c r="K149" s="22" t="n">
        <v>0.5799994973064001</v>
      </c>
    </row>
    <row r="150">
      <c r="A150" s="14" t="inlineStr">
        <is>
          <t>2026-01-27</t>
        </is>
      </c>
      <c r="B150" s="14" t="inlineStr">
        <is>
          <t>智能手表</t>
        </is>
      </c>
      <c r="C150" s="14" t="inlineStr">
        <is>
          <t>华东</t>
        </is>
      </c>
      <c r="D150" s="14" t="inlineStr">
        <is>
          <t>私域</t>
        </is>
      </c>
      <c r="E150" s="14" t="inlineStr">
        <is>
          <t>新客</t>
        </is>
      </c>
      <c r="F150" s="30" t="n">
        <v>595.65</v>
      </c>
      <c r="G150" s="31" t="n">
        <v>37</v>
      </c>
      <c r="H150" s="30" t="n">
        <v>22039.05</v>
      </c>
      <c r="I150" s="30" t="n">
        <v>8815.620000000001</v>
      </c>
      <c r="J150" s="30" t="n">
        <v>13223.43</v>
      </c>
      <c r="K150" s="17" t="n">
        <v>0.6</v>
      </c>
    </row>
    <row r="151">
      <c r="A151" s="19" t="inlineStr">
        <is>
          <t>2026-01-25</t>
        </is>
      </c>
      <c r="B151" s="19" t="inlineStr">
        <is>
          <t>机械键盘</t>
        </is>
      </c>
      <c r="C151" s="19" t="inlineStr">
        <is>
          <t>华北</t>
        </is>
      </c>
      <c r="D151" s="19" t="inlineStr">
        <is>
          <t>淘宝</t>
        </is>
      </c>
      <c r="E151" s="19" t="inlineStr">
        <is>
          <t>老客</t>
        </is>
      </c>
      <c r="F151" s="28" t="n">
        <v>205.6</v>
      </c>
      <c r="G151" s="29" t="n">
        <v>7</v>
      </c>
      <c r="H151" s="28" t="n">
        <v>1439.2</v>
      </c>
      <c r="I151" s="28" t="n">
        <v>604.46</v>
      </c>
      <c r="J151" s="28" t="n">
        <v>834.74</v>
      </c>
      <c r="K151" s="22" t="n">
        <v>0.5800027793218454</v>
      </c>
    </row>
    <row r="152">
      <c r="A152" s="14" t="inlineStr">
        <is>
          <t>2026-01-25</t>
        </is>
      </c>
      <c r="B152" s="14" t="inlineStr">
        <is>
          <t>便携充电宝</t>
        </is>
      </c>
      <c r="C152" s="14" t="inlineStr">
        <is>
          <t>华东</t>
        </is>
      </c>
      <c r="D152" s="14" t="inlineStr">
        <is>
          <t>京东</t>
        </is>
      </c>
      <c r="E152" s="14" t="inlineStr">
        <is>
          <t>新客</t>
        </is>
      </c>
      <c r="F152" s="30" t="n">
        <v>53.84</v>
      </c>
      <c r="G152" s="31" t="n">
        <v>18</v>
      </c>
      <c r="H152" s="30" t="n">
        <v>969.12</v>
      </c>
      <c r="I152" s="30" t="n">
        <v>484.56</v>
      </c>
      <c r="J152" s="30" t="n">
        <v>484.56</v>
      </c>
      <c r="K152" s="17" t="n">
        <v>0.5</v>
      </c>
    </row>
    <row r="153">
      <c r="A153" s="19" t="inlineStr">
        <is>
          <t>2026-01-25</t>
        </is>
      </c>
      <c r="B153" s="19" t="inlineStr">
        <is>
          <t>无线蓝牙耳机</t>
        </is>
      </c>
      <c r="C153" s="19" t="inlineStr">
        <is>
          <t>华北</t>
        </is>
      </c>
      <c r="D153" s="19" t="inlineStr">
        <is>
          <t>抖音</t>
        </is>
      </c>
      <c r="E153" s="19" t="inlineStr">
        <is>
          <t>VIP</t>
        </is>
      </c>
      <c r="F153" s="28" t="n">
        <v>131.37</v>
      </c>
      <c r="G153" s="29" t="n">
        <v>37</v>
      </c>
      <c r="H153" s="28" t="n">
        <v>4860.69</v>
      </c>
      <c r="I153" s="28" t="n">
        <v>2187.31</v>
      </c>
      <c r="J153" s="28" t="n">
        <v>2673.38</v>
      </c>
      <c r="K153" s="22" t="n">
        <v>0.5500001028660541</v>
      </c>
    </row>
    <row r="154">
      <c r="A154" s="14" t="inlineStr">
        <is>
          <t>2026-01-25</t>
        </is>
      </c>
      <c r="B154" s="14" t="inlineStr">
        <is>
          <t>便携充电宝</t>
        </is>
      </c>
      <c r="C154" s="14" t="inlineStr">
        <is>
          <t>华东</t>
        </is>
      </c>
      <c r="D154" s="14" t="inlineStr">
        <is>
          <t>淘宝</t>
        </is>
      </c>
      <c r="E154" s="14" t="inlineStr">
        <is>
          <t>VIP</t>
        </is>
      </c>
      <c r="F154" s="30" t="n">
        <v>93.45999999999999</v>
      </c>
      <c r="G154" s="31" t="n">
        <v>34</v>
      </c>
      <c r="H154" s="30" t="n">
        <v>3177.64</v>
      </c>
      <c r="I154" s="30" t="n">
        <v>1588.82</v>
      </c>
      <c r="J154" s="30" t="n">
        <v>1588.82</v>
      </c>
      <c r="K154" s="17" t="n">
        <v>0.5</v>
      </c>
    </row>
    <row r="155">
      <c r="A155" s="19" t="inlineStr">
        <is>
          <t>2026-01-23</t>
        </is>
      </c>
      <c r="B155" s="19" t="inlineStr">
        <is>
          <t>无线蓝牙耳机</t>
        </is>
      </c>
      <c r="C155" s="19" t="inlineStr">
        <is>
          <t>华中</t>
        </is>
      </c>
      <c r="D155" s="19" t="inlineStr">
        <is>
          <t>拼多多</t>
        </is>
      </c>
      <c r="E155" s="19" t="inlineStr">
        <is>
          <t>新客</t>
        </is>
      </c>
      <c r="F155" s="28" t="n">
        <v>185.47</v>
      </c>
      <c r="G155" s="29" t="n">
        <v>17</v>
      </c>
      <c r="H155" s="28" t="n">
        <v>3152.99</v>
      </c>
      <c r="I155" s="28" t="n">
        <v>1418.85</v>
      </c>
      <c r="J155" s="28" t="n">
        <v>1734.14</v>
      </c>
      <c r="K155" s="22" t="n">
        <v>0.5499985727832947</v>
      </c>
    </row>
    <row r="156">
      <c r="A156" s="14" t="inlineStr">
        <is>
          <t>2026-01-23</t>
        </is>
      </c>
      <c r="B156" s="14" t="inlineStr">
        <is>
          <t>便携充电宝</t>
        </is>
      </c>
      <c r="C156" s="14" t="inlineStr">
        <is>
          <t>西南</t>
        </is>
      </c>
      <c r="D156" s="14" t="inlineStr">
        <is>
          <t>私域</t>
        </is>
      </c>
      <c r="E156" s="14" t="inlineStr">
        <is>
          <t>VIP</t>
        </is>
      </c>
      <c r="F156" s="30" t="n">
        <v>95.09999999999999</v>
      </c>
      <c r="G156" s="31" t="n">
        <v>49</v>
      </c>
      <c r="H156" s="30" t="n">
        <v>4659.9</v>
      </c>
      <c r="I156" s="30" t="n">
        <v>2329.95</v>
      </c>
      <c r="J156" s="30" t="n">
        <v>2329.95</v>
      </c>
      <c r="K156" s="17" t="n">
        <v>0.5</v>
      </c>
    </row>
    <row r="157">
      <c r="A157" s="24" t="inlineStr">
        <is>
          <t>2026-01-23</t>
        </is>
      </c>
      <c r="B157" s="24" t="inlineStr">
        <is>
          <t>手机壳套装</t>
        </is>
      </c>
      <c r="C157" s="24" t="inlineStr">
        <is>
          <t>华东</t>
        </is>
      </c>
      <c r="D157" s="24" t="inlineStr">
        <is>
          <t>私域</t>
        </is>
      </c>
      <c r="E157" s="24" t="inlineStr">
        <is>
          <t>老客</t>
        </is>
      </c>
      <c r="F157" s="25" t="n">
        <v>60.7</v>
      </c>
      <c r="G157" s="26" t="n">
        <v>11</v>
      </c>
      <c r="H157" s="25" t="n">
        <v>667.7</v>
      </c>
      <c r="I157" s="25" t="n">
        <v>200.31</v>
      </c>
      <c r="J157" s="25" t="n">
        <v>467.39</v>
      </c>
      <c r="K157" s="27" t="n">
        <v>0.7</v>
      </c>
    </row>
    <row r="158">
      <c r="A158" s="14" t="inlineStr">
        <is>
          <t>2026-01-23</t>
        </is>
      </c>
      <c r="B158" s="14" t="inlineStr">
        <is>
          <t>智能手表</t>
        </is>
      </c>
      <c r="C158" s="14" t="inlineStr">
        <is>
          <t>华北</t>
        </is>
      </c>
      <c r="D158" s="14" t="inlineStr">
        <is>
          <t>京东</t>
        </is>
      </c>
      <c r="E158" s="14" t="inlineStr">
        <is>
          <t>VIP</t>
        </is>
      </c>
      <c r="F158" s="30" t="n">
        <v>563.42</v>
      </c>
      <c r="G158" s="31" t="n">
        <v>2</v>
      </c>
      <c r="H158" s="30" t="n">
        <v>1126.84</v>
      </c>
      <c r="I158" s="30" t="n">
        <v>450.74</v>
      </c>
      <c r="J158" s="30" t="n">
        <v>676.1</v>
      </c>
      <c r="K158" s="17" t="n">
        <v>0.5999964502502574</v>
      </c>
    </row>
    <row r="159">
      <c r="A159" s="24" t="inlineStr">
        <is>
          <t>2026-01-22</t>
        </is>
      </c>
      <c r="B159" s="24" t="inlineStr">
        <is>
          <t>智能手表</t>
        </is>
      </c>
      <c r="C159" s="24" t="inlineStr">
        <is>
          <t>西南</t>
        </is>
      </c>
      <c r="D159" s="24" t="inlineStr">
        <is>
          <t>抖音</t>
        </is>
      </c>
      <c r="E159" s="24" t="inlineStr">
        <is>
          <t>老客</t>
        </is>
      </c>
      <c r="F159" s="25" t="n">
        <v>558.4</v>
      </c>
      <c r="G159" s="26" t="n">
        <v>4</v>
      </c>
      <c r="H159" s="25" t="n">
        <v>2233.6</v>
      </c>
      <c r="I159" s="25" t="n">
        <v>893.4400000000001</v>
      </c>
      <c r="J159" s="25" t="n">
        <v>1340.16</v>
      </c>
      <c r="K159" s="27" t="n">
        <v>0.6000000000000001</v>
      </c>
    </row>
    <row r="160">
      <c r="A160" s="14" t="inlineStr">
        <is>
          <t>2026-01-22</t>
        </is>
      </c>
      <c r="B160" s="14" t="inlineStr">
        <is>
          <t>无线蓝牙耳机</t>
        </is>
      </c>
      <c r="C160" s="14" t="inlineStr">
        <is>
          <t>西南</t>
        </is>
      </c>
      <c r="D160" s="14" t="inlineStr">
        <is>
          <t>京东</t>
        </is>
      </c>
      <c r="E160" s="14" t="inlineStr">
        <is>
          <t>老客</t>
        </is>
      </c>
      <c r="F160" s="30" t="n">
        <v>190.9</v>
      </c>
      <c r="G160" s="31" t="n">
        <v>16</v>
      </c>
      <c r="H160" s="30" t="n">
        <v>3054.4</v>
      </c>
      <c r="I160" s="30" t="n">
        <v>1374.48</v>
      </c>
      <c r="J160" s="30" t="n">
        <v>1679.92</v>
      </c>
      <c r="K160" s="17" t="n">
        <v>0.55</v>
      </c>
    </row>
    <row r="161">
      <c r="A161" s="19" t="inlineStr">
        <is>
          <t>2026-01-21</t>
        </is>
      </c>
      <c r="B161" s="19" t="inlineStr">
        <is>
          <t>便携充电宝</t>
        </is>
      </c>
      <c r="C161" s="19" t="inlineStr">
        <is>
          <t>华北</t>
        </is>
      </c>
      <c r="D161" s="19" t="inlineStr">
        <is>
          <t>拼多多</t>
        </is>
      </c>
      <c r="E161" s="19" t="inlineStr">
        <is>
          <t>新客</t>
        </is>
      </c>
      <c r="F161" s="28" t="n">
        <v>85.27</v>
      </c>
      <c r="G161" s="29" t="n">
        <v>24</v>
      </c>
      <c r="H161" s="28" t="n">
        <v>2046.48</v>
      </c>
      <c r="I161" s="28" t="n">
        <v>1023.24</v>
      </c>
      <c r="J161" s="28" t="n">
        <v>1023.24</v>
      </c>
      <c r="K161" s="22" t="n">
        <v>0.5</v>
      </c>
    </row>
    <row r="162">
      <c r="A162" s="24" t="inlineStr">
        <is>
          <t>2026-01-21</t>
        </is>
      </c>
      <c r="B162" s="24" t="inlineStr">
        <is>
          <t>USB-C扩展坞</t>
        </is>
      </c>
      <c r="C162" s="24" t="inlineStr">
        <is>
          <t>西南</t>
        </is>
      </c>
      <c r="D162" s="24" t="inlineStr">
        <is>
          <t>拼多多</t>
        </is>
      </c>
      <c r="E162" s="24" t="inlineStr">
        <is>
          <t>老客</t>
        </is>
      </c>
      <c r="F162" s="25" t="n">
        <v>143.82</v>
      </c>
      <c r="G162" s="26" t="n">
        <v>1</v>
      </c>
      <c r="H162" s="25" t="n">
        <v>143.82</v>
      </c>
      <c r="I162" s="25" t="n">
        <v>54.65</v>
      </c>
      <c r="J162" s="25" t="n">
        <v>89.17</v>
      </c>
      <c r="K162" s="27" t="n">
        <v>0.6200111250173829</v>
      </c>
    </row>
    <row r="163">
      <c r="A163" s="19" t="inlineStr">
        <is>
          <t>2026-01-21</t>
        </is>
      </c>
      <c r="B163" s="19" t="inlineStr">
        <is>
          <t>智能手表</t>
        </is>
      </c>
      <c r="C163" s="19" t="inlineStr">
        <is>
          <t>西南</t>
        </is>
      </c>
      <c r="D163" s="19" t="inlineStr">
        <is>
          <t>京东</t>
        </is>
      </c>
      <c r="E163" s="19" t="inlineStr">
        <is>
          <t>老客</t>
        </is>
      </c>
      <c r="F163" s="28" t="n">
        <v>459.24</v>
      </c>
      <c r="G163" s="29" t="n">
        <v>16</v>
      </c>
      <c r="H163" s="28" t="n">
        <v>7347.84</v>
      </c>
      <c r="I163" s="28" t="n">
        <v>2939.14</v>
      </c>
      <c r="J163" s="28" t="n">
        <v>4408.7</v>
      </c>
      <c r="K163" s="22" t="n">
        <v>0.5999994556223325</v>
      </c>
    </row>
    <row r="164">
      <c r="A164" s="24" t="inlineStr">
        <is>
          <t>2026-01-21</t>
        </is>
      </c>
      <c r="B164" s="24" t="inlineStr">
        <is>
          <t>USB-C扩展坞</t>
        </is>
      </c>
      <c r="C164" s="24" t="inlineStr">
        <is>
          <t>华东</t>
        </is>
      </c>
      <c r="D164" s="24" t="inlineStr">
        <is>
          <t>私域</t>
        </is>
      </c>
      <c r="E164" s="24" t="inlineStr">
        <is>
          <t>新客</t>
        </is>
      </c>
      <c r="F164" s="25" t="n">
        <v>134.31</v>
      </c>
      <c r="G164" s="26" t="n">
        <v>34</v>
      </c>
      <c r="H164" s="25" t="n">
        <v>4566.54</v>
      </c>
      <c r="I164" s="25" t="n">
        <v>1735.29</v>
      </c>
      <c r="J164" s="25" t="n">
        <v>2831.25</v>
      </c>
      <c r="K164" s="27" t="n">
        <v>0.6199989488759542</v>
      </c>
    </row>
    <row r="165">
      <c r="A165" s="24" t="inlineStr">
        <is>
          <t>2026-01-21</t>
        </is>
      </c>
      <c r="B165" s="24" t="inlineStr">
        <is>
          <t>手机壳套装</t>
        </is>
      </c>
      <c r="C165" s="24" t="inlineStr">
        <is>
          <t>华东</t>
        </is>
      </c>
      <c r="D165" s="24" t="inlineStr">
        <is>
          <t>京东</t>
        </is>
      </c>
      <c r="E165" s="24" t="inlineStr">
        <is>
          <t>新客</t>
        </is>
      </c>
      <c r="F165" s="25" t="n">
        <v>61.43</v>
      </c>
      <c r="G165" s="26" t="n">
        <v>18</v>
      </c>
      <c r="H165" s="25" t="n">
        <v>1105.74</v>
      </c>
      <c r="I165" s="25" t="n">
        <v>331.72</v>
      </c>
      <c r="J165" s="25" t="n">
        <v>774.02</v>
      </c>
      <c r="K165" s="27" t="n">
        <v>0.7000018087434658</v>
      </c>
    </row>
    <row r="166">
      <c r="A166" s="24" t="inlineStr">
        <is>
          <t>2026-01-20</t>
        </is>
      </c>
      <c r="B166" s="24" t="inlineStr">
        <is>
          <t>手机壳套装</t>
        </is>
      </c>
      <c r="C166" s="24" t="inlineStr">
        <is>
          <t>华东</t>
        </is>
      </c>
      <c r="D166" s="24" t="inlineStr">
        <is>
          <t>京东</t>
        </is>
      </c>
      <c r="E166" s="24" t="inlineStr">
        <is>
          <t>老客</t>
        </is>
      </c>
      <c r="F166" s="25" t="n">
        <v>34.77</v>
      </c>
      <c r="G166" s="26" t="n">
        <v>42</v>
      </c>
      <c r="H166" s="25" t="n">
        <v>1460.34</v>
      </c>
      <c r="I166" s="25" t="n">
        <v>438.1</v>
      </c>
      <c r="J166" s="25" t="n">
        <v>1022.24</v>
      </c>
      <c r="K166" s="27" t="n">
        <v>0.7000013695440788</v>
      </c>
    </row>
    <row r="167">
      <c r="A167" s="19" t="inlineStr">
        <is>
          <t>2026-01-20</t>
        </is>
      </c>
      <c r="B167" s="19" t="inlineStr">
        <is>
          <t>无线蓝牙耳机</t>
        </is>
      </c>
      <c r="C167" s="19" t="inlineStr">
        <is>
          <t>华中</t>
        </is>
      </c>
      <c r="D167" s="19" t="inlineStr">
        <is>
          <t>抖音</t>
        </is>
      </c>
      <c r="E167" s="19" t="inlineStr">
        <is>
          <t>老客</t>
        </is>
      </c>
      <c r="F167" s="28" t="n">
        <v>101.31</v>
      </c>
      <c r="G167" s="29" t="n">
        <v>45</v>
      </c>
      <c r="H167" s="28" t="n">
        <v>4558.95</v>
      </c>
      <c r="I167" s="28" t="n">
        <v>2051.53</v>
      </c>
      <c r="J167" s="28" t="n">
        <v>2507.42</v>
      </c>
      <c r="K167" s="22" t="n">
        <v>0.5499994516281161</v>
      </c>
    </row>
    <row r="168">
      <c r="A168" s="14" t="inlineStr">
        <is>
          <t>2026-01-19</t>
        </is>
      </c>
      <c r="B168" s="14" t="inlineStr">
        <is>
          <t>便携充电宝</t>
        </is>
      </c>
      <c r="C168" s="14" t="inlineStr">
        <is>
          <t>华东</t>
        </is>
      </c>
      <c r="D168" s="14" t="inlineStr">
        <is>
          <t>抖音</t>
        </is>
      </c>
      <c r="E168" s="14" t="inlineStr">
        <is>
          <t>新客</t>
        </is>
      </c>
      <c r="F168" s="30" t="n">
        <v>66.97</v>
      </c>
      <c r="G168" s="31" t="n">
        <v>13</v>
      </c>
      <c r="H168" s="30" t="n">
        <v>870.61</v>
      </c>
      <c r="I168" s="30" t="n">
        <v>435.31</v>
      </c>
      <c r="J168" s="30" t="n">
        <v>435.3</v>
      </c>
      <c r="K168" s="17" t="n">
        <v>0.4999942569003343</v>
      </c>
    </row>
    <row r="169">
      <c r="A169" s="24" t="inlineStr">
        <is>
          <t>2026-01-19</t>
        </is>
      </c>
      <c r="B169" s="24" t="inlineStr">
        <is>
          <t>手机壳套装</t>
        </is>
      </c>
      <c r="C169" s="24" t="inlineStr">
        <is>
          <t>华东</t>
        </is>
      </c>
      <c r="D169" s="24" t="inlineStr">
        <is>
          <t>抖音</t>
        </is>
      </c>
      <c r="E169" s="24" t="inlineStr">
        <is>
          <t>新客</t>
        </is>
      </c>
      <c r="F169" s="25" t="n">
        <v>34.96</v>
      </c>
      <c r="G169" s="26" t="n">
        <v>18</v>
      </c>
      <c r="H169" s="25" t="n">
        <v>629.28</v>
      </c>
      <c r="I169" s="25" t="n">
        <v>188.78</v>
      </c>
      <c r="J169" s="25" t="n">
        <v>440.5</v>
      </c>
      <c r="K169" s="27" t="n">
        <v>0.7000063564708874</v>
      </c>
    </row>
    <row r="170">
      <c r="A170" s="14" t="inlineStr">
        <is>
          <t>2026-01-18</t>
        </is>
      </c>
      <c r="B170" s="14" t="inlineStr">
        <is>
          <t>便携充电宝</t>
        </is>
      </c>
      <c r="C170" s="14" t="inlineStr">
        <is>
          <t>华东</t>
        </is>
      </c>
      <c r="D170" s="14" t="inlineStr">
        <is>
          <t>抖音</t>
        </is>
      </c>
      <c r="E170" s="14" t="inlineStr">
        <is>
          <t>老客</t>
        </is>
      </c>
      <c r="F170" s="30" t="n">
        <v>100.94</v>
      </c>
      <c r="G170" s="31" t="n">
        <v>8</v>
      </c>
      <c r="H170" s="30" t="n">
        <v>807.52</v>
      </c>
      <c r="I170" s="30" t="n">
        <v>403.76</v>
      </c>
      <c r="J170" s="30" t="n">
        <v>403.76</v>
      </c>
      <c r="K170" s="17" t="n">
        <v>0.5</v>
      </c>
    </row>
    <row r="171">
      <c r="A171" s="24" t="inlineStr">
        <is>
          <t>2026-01-18</t>
        </is>
      </c>
      <c r="B171" s="24" t="inlineStr">
        <is>
          <t>智能手表</t>
        </is>
      </c>
      <c r="C171" s="24" t="inlineStr">
        <is>
          <t>华东</t>
        </is>
      </c>
      <c r="D171" s="24" t="inlineStr">
        <is>
          <t>拼多多</t>
        </is>
      </c>
      <c r="E171" s="24" t="inlineStr">
        <is>
          <t>老客</t>
        </is>
      </c>
      <c r="F171" s="25" t="n">
        <v>575.5599999999999</v>
      </c>
      <c r="G171" s="26" t="n">
        <v>33</v>
      </c>
      <c r="H171" s="25" t="n">
        <v>18993.48</v>
      </c>
      <c r="I171" s="25" t="n">
        <v>7597.39</v>
      </c>
      <c r="J171" s="25" t="n">
        <v>11396.09</v>
      </c>
      <c r="K171" s="27" t="n">
        <v>0.6000001052992922</v>
      </c>
    </row>
    <row r="172">
      <c r="A172" s="14" t="inlineStr">
        <is>
          <t>2026-01-17</t>
        </is>
      </c>
      <c r="B172" s="14" t="inlineStr">
        <is>
          <t>机械键盘</t>
        </is>
      </c>
      <c r="C172" s="14" t="inlineStr">
        <is>
          <t>华东</t>
        </is>
      </c>
      <c r="D172" s="14" t="inlineStr">
        <is>
          <t>拼多多</t>
        </is>
      </c>
      <c r="E172" s="14" t="inlineStr">
        <is>
          <t>老客</t>
        </is>
      </c>
      <c r="F172" s="30" t="n">
        <v>259.51</v>
      </c>
      <c r="G172" s="31" t="n">
        <v>28</v>
      </c>
      <c r="H172" s="30" t="n">
        <v>7266.28</v>
      </c>
      <c r="I172" s="30" t="n">
        <v>3051.84</v>
      </c>
      <c r="J172" s="30" t="n">
        <v>4214.44</v>
      </c>
      <c r="K172" s="17" t="n">
        <v>0.5799996697071954</v>
      </c>
    </row>
    <row r="173">
      <c r="A173" s="19" t="inlineStr">
        <is>
          <t>2026-01-17</t>
        </is>
      </c>
      <c r="B173" s="19" t="inlineStr">
        <is>
          <t>无线蓝牙耳机</t>
        </is>
      </c>
      <c r="C173" s="19" t="inlineStr">
        <is>
          <t>西南</t>
        </is>
      </c>
      <c r="D173" s="19" t="inlineStr">
        <is>
          <t>抖音</t>
        </is>
      </c>
      <c r="E173" s="19" t="inlineStr">
        <is>
          <t>新客</t>
        </is>
      </c>
      <c r="F173" s="28" t="n">
        <v>149.87</v>
      </c>
      <c r="G173" s="29" t="n">
        <v>45</v>
      </c>
      <c r="H173" s="28" t="n">
        <v>6744.15</v>
      </c>
      <c r="I173" s="28" t="n">
        <v>3034.87</v>
      </c>
      <c r="J173" s="28" t="n">
        <v>3709.28</v>
      </c>
      <c r="K173" s="22" t="n">
        <v>0.5499996293083637</v>
      </c>
    </row>
    <row r="174">
      <c r="A174" s="14" t="inlineStr">
        <is>
          <t>2026-01-17</t>
        </is>
      </c>
      <c r="B174" s="14" t="inlineStr">
        <is>
          <t>无线蓝牙耳机</t>
        </is>
      </c>
      <c r="C174" s="14" t="inlineStr">
        <is>
          <t>华东</t>
        </is>
      </c>
      <c r="D174" s="14" t="inlineStr">
        <is>
          <t>拼多多</t>
        </is>
      </c>
      <c r="E174" s="14" t="inlineStr">
        <is>
          <t>新客</t>
        </is>
      </c>
      <c r="F174" s="30" t="n">
        <v>161.72</v>
      </c>
      <c r="G174" s="31" t="n">
        <v>2</v>
      </c>
      <c r="H174" s="30" t="n">
        <v>323.44</v>
      </c>
      <c r="I174" s="30" t="n">
        <v>145.55</v>
      </c>
      <c r="J174" s="30" t="n">
        <v>177.89</v>
      </c>
      <c r="K174" s="17" t="n">
        <v>0.5499938164729161</v>
      </c>
    </row>
    <row r="175">
      <c r="A175" s="19" t="inlineStr">
        <is>
          <t>2026-01-17</t>
        </is>
      </c>
      <c r="B175" s="19" t="inlineStr">
        <is>
          <t>便携充电宝</t>
        </is>
      </c>
      <c r="C175" s="19" t="inlineStr">
        <is>
          <t>华中</t>
        </is>
      </c>
      <c r="D175" s="19" t="inlineStr">
        <is>
          <t>拼多多</t>
        </is>
      </c>
      <c r="E175" s="19" t="inlineStr">
        <is>
          <t>新客</t>
        </is>
      </c>
      <c r="F175" s="28" t="n">
        <v>117.67</v>
      </c>
      <c r="G175" s="29" t="n">
        <v>10</v>
      </c>
      <c r="H175" s="28" t="n">
        <v>1176.7</v>
      </c>
      <c r="I175" s="28" t="n">
        <v>588.35</v>
      </c>
      <c r="J175" s="28" t="n">
        <v>588.35</v>
      </c>
      <c r="K175" s="22" t="n">
        <v>0.5</v>
      </c>
    </row>
    <row r="176">
      <c r="A176" s="14" t="inlineStr">
        <is>
          <t>2026-01-16</t>
        </is>
      </c>
      <c r="B176" s="14" t="inlineStr">
        <is>
          <t>便携充电宝</t>
        </is>
      </c>
      <c r="C176" s="14" t="inlineStr">
        <is>
          <t>华中</t>
        </is>
      </c>
      <c r="D176" s="14" t="inlineStr">
        <is>
          <t>抖音</t>
        </is>
      </c>
      <c r="E176" s="14" t="inlineStr">
        <is>
          <t>老客</t>
        </is>
      </c>
      <c r="F176" s="30" t="n">
        <v>117.02</v>
      </c>
      <c r="G176" s="31" t="n">
        <v>39</v>
      </c>
      <c r="H176" s="30" t="n">
        <v>4563.78</v>
      </c>
      <c r="I176" s="30" t="n">
        <v>2281.89</v>
      </c>
      <c r="J176" s="30" t="n">
        <v>2281.89</v>
      </c>
      <c r="K176" s="17" t="n">
        <v>0.5</v>
      </c>
    </row>
    <row r="177">
      <c r="A177" s="19" t="inlineStr">
        <is>
          <t>2026-01-16</t>
        </is>
      </c>
      <c r="B177" s="19" t="inlineStr">
        <is>
          <t>便携充电宝</t>
        </is>
      </c>
      <c r="C177" s="19" t="inlineStr">
        <is>
          <t>华中</t>
        </is>
      </c>
      <c r="D177" s="19" t="inlineStr">
        <is>
          <t>京东</t>
        </is>
      </c>
      <c r="E177" s="19" t="inlineStr">
        <is>
          <t>VIP</t>
        </is>
      </c>
      <c r="F177" s="28" t="n">
        <v>55.81</v>
      </c>
      <c r="G177" s="29" t="n">
        <v>16</v>
      </c>
      <c r="H177" s="28" t="n">
        <v>892.96</v>
      </c>
      <c r="I177" s="28" t="n">
        <v>446.48</v>
      </c>
      <c r="J177" s="28" t="n">
        <v>446.48</v>
      </c>
      <c r="K177" s="22" t="n">
        <v>0.5</v>
      </c>
    </row>
    <row r="178">
      <c r="A178" s="24" t="inlineStr">
        <is>
          <t>2026-01-15</t>
        </is>
      </c>
      <c r="B178" s="24" t="inlineStr">
        <is>
          <t>智能手表</t>
        </is>
      </c>
      <c r="C178" s="24" t="inlineStr">
        <is>
          <t>华南</t>
        </is>
      </c>
      <c r="D178" s="24" t="inlineStr">
        <is>
          <t>拼多多</t>
        </is>
      </c>
      <c r="E178" s="24" t="inlineStr">
        <is>
          <t>新客</t>
        </is>
      </c>
      <c r="F178" s="25" t="n">
        <v>480.77</v>
      </c>
      <c r="G178" s="26" t="n">
        <v>48</v>
      </c>
      <c r="H178" s="25" t="n">
        <v>23076.96</v>
      </c>
      <c r="I178" s="25" t="n">
        <v>9230.780000000001</v>
      </c>
      <c r="J178" s="25" t="n">
        <v>13846.18</v>
      </c>
      <c r="K178" s="27" t="n">
        <v>0.600000173333056</v>
      </c>
    </row>
    <row r="179">
      <c r="A179" s="19" t="inlineStr">
        <is>
          <t>2026-01-15</t>
        </is>
      </c>
      <c r="B179" s="19" t="inlineStr">
        <is>
          <t>便携充电宝</t>
        </is>
      </c>
      <c r="C179" s="19" t="inlineStr">
        <is>
          <t>华东</t>
        </is>
      </c>
      <c r="D179" s="19" t="inlineStr">
        <is>
          <t>京东</t>
        </is>
      </c>
      <c r="E179" s="19" t="inlineStr">
        <is>
          <t>老客</t>
        </is>
      </c>
      <c r="F179" s="28" t="n">
        <v>124.29</v>
      </c>
      <c r="G179" s="29" t="n">
        <v>31</v>
      </c>
      <c r="H179" s="28" t="n">
        <v>3852.99</v>
      </c>
      <c r="I179" s="28" t="n">
        <v>1926.5</v>
      </c>
      <c r="J179" s="28" t="n">
        <v>1926.49</v>
      </c>
      <c r="K179" s="22" t="n">
        <v>0.4999987023065204</v>
      </c>
    </row>
    <row r="180">
      <c r="A180" s="14" t="inlineStr">
        <is>
          <t>2026-01-14</t>
        </is>
      </c>
      <c r="B180" s="14" t="inlineStr">
        <is>
          <t>智能手表</t>
        </is>
      </c>
      <c r="C180" s="14" t="inlineStr">
        <is>
          <t>西南</t>
        </is>
      </c>
      <c r="D180" s="14" t="inlineStr">
        <is>
          <t>淘宝</t>
        </is>
      </c>
      <c r="E180" s="14" t="inlineStr">
        <is>
          <t>新客</t>
        </is>
      </c>
      <c r="F180" s="30" t="n">
        <v>495.82</v>
      </c>
      <c r="G180" s="31" t="n">
        <v>1</v>
      </c>
      <c r="H180" s="30" t="n">
        <v>495.82</v>
      </c>
      <c r="I180" s="30" t="n">
        <v>198.33</v>
      </c>
      <c r="J180" s="30" t="n">
        <v>297.49</v>
      </c>
      <c r="K180" s="17" t="n">
        <v>0.5999959662780848</v>
      </c>
    </row>
    <row r="181">
      <c r="A181" s="19" t="inlineStr">
        <is>
          <t>2026-01-13</t>
        </is>
      </c>
      <c r="B181" s="19" t="inlineStr">
        <is>
          <t>便携充电宝</t>
        </is>
      </c>
      <c r="C181" s="19" t="inlineStr">
        <is>
          <t>华中</t>
        </is>
      </c>
      <c r="D181" s="19" t="inlineStr">
        <is>
          <t>京东</t>
        </is>
      </c>
      <c r="E181" s="19" t="inlineStr">
        <is>
          <t>新客</t>
        </is>
      </c>
      <c r="F181" s="28" t="n">
        <v>118.58</v>
      </c>
      <c r="G181" s="29" t="n">
        <v>29</v>
      </c>
      <c r="H181" s="28" t="n">
        <v>3438.82</v>
      </c>
      <c r="I181" s="28" t="n">
        <v>1719.41</v>
      </c>
      <c r="J181" s="28" t="n">
        <v>1719.41</v>
      </c>
      <c r="K181" s="22" t="n">
        <v>0.5</v>
      </c>
    </row>
    <row r="182">
      <c r="A182" s="24" t="inlineStr">
        <is>
          <t>2026-01-13</t>
        </is>
      </c>
      <c r="B182" s="24" t="inlineStr">
        <is>
          <t>USB-C扩展坞</t>
        </is>
      </c>
      <c r="C182" s="24" t="inlineStr">
        <is>
          <t>华东</t>
        </is>
      </c>
      <c r="D182" s="24" t="inlineStr">
        <is>
          <t>京东</t>
        </is>
      </c>
      <c r="E182" s="24" t="inlineStr">
        <is>
          <t>老客</t>
        </is>
      </c>
      <c r="F182" s="25" t="n">
        <v>167.82</v>
      </c>
      <c r="G182" s="26" t="n">
        <v>13</v>
      </c>
      <c r="H182" s="25" t="n">
        <v>2181.66</v>
      </c>
      <c r="I182" s="25" t="n">
        <v>829.03</v>
      </c>
      <c r="J182" s="25" t="n">
        <v>1352.63</v>
      </c>
      <c r="K182" s="27" t="n">
        <v>0.620000366693252</v>
      </c>
    </row>
    <row r="183">
      <c r="A183" s="24" t="inlineStr">
        <is>
          <t>2026-01-13</t>
        </is>
      </c>
      <c r="B183" s="24" t="inlineStr">
        <is>
          <t>USB-C扩展坞</t>
        </is>
      </c>
      <c r="C183" s="24" t="inlineStr">
        <is>
          <t>华东</t>
        </is>
      </c>
      <c r="D183" s="24" t="inlineStr">
        <is>
          <t>私域</t>
        </is>
      </c>
      <c r="E183" s="24" t="inlineStr">
        <is>
          <t>新客</t>
        </is>
      </c>
      <c r="F183" s="25" t="n">
        <v>167.88</v>
      </c>
      <c r="G183" s="26" t="n">
        <v>36</v>
      </c>
      <c r="H183" s="25" t="n">
        <v>6043.68</v>
      </c>
      <c r="I183" s="25" t="n">
        <v>2296.6</v>
      </c>
      <c r="J183" s="25" t="n">
        <v>3747.08</v>
      </c>
      <c r="K183" s="27" t="n">
        <v>0.6199997352606359</v>
      </c>
    </row>
    <row r="184">
      <c r="A184" s="24" t="inlineStr">
        <is>
          <t>2026-01-13</t>
        </is>
      </c>
      <c r="B184" s="24" t="inlineStr">
        <is>
          <t>USB-C扩展坞</t>
        </is>
      </c>
      <c r="C184" s="24" t="inlineStr">
        <is>
          <t>华北</t>
        </is>
      </c>
      <c r="D184" s="24" t="inlineStr">
        <is>
          <t>私域</t>
        </is>
      </c>
      <c r="E184" s="24" t="inlineStr">
        <is>
          <t>VIP</t>
        </is>
      </c>
      <c r="F184" s="25" t="n">
        <v>183.56</v>
      </c>
      <c r="G184" s="26" t="n">
        <v>24</v>
      </c>
      <c r="H184" s="25" t="n">
        <v>4405.44</v>
      </c>
      <c r="I184" s="25" t="n">
        <v>1674.07</v>
      </c>
      <c r="J184" s="25" t="n">
        <v>2731.37</v>
      </c>
      <c r="K184" s="27" t="n">
        <v>0.619999364422169</v>
      </c>
    </row>
    <row r="185">
      <c r="A185" s="24" t="inlineStr">
        <is>
          <t>2026-01-11</t>
        </is>
      </c>
      <c r="B185" s="24" t="inlineStr">
        <is>
          <t>手机壳套装</t>
        </is>
      </c>
      <c r="C185" s="24" t="inlineStr">
        <is>
          <t>华南</t>
        </is>
      </c>
      <c r="D185" s="24" t="inlineStr">
        <is>
          <t>抖音</t>
        </is>
      </c>
      <c r="E185" s="24" t="inlineStr">
        <is>
          <t>老客</t>
        </is>
      </c>
      <c r="F185" s="25" t="n">
        <v>38.12</v>
      </c>
      <c r="G185" s="26" t="n">
        <v>19</v>
      </c>
      <c r="H185" s="25" t="n">
        <v>724.28</v>
      </c>
      <c r="I185" s="25" t="n">
        <v>217.28</v>
      </c>
      <c r="J185" s="25" t="n">
        <v>507</v>
      </c>
      <c r="K185" s="27" t="n">
        <v>0.7000055227260176</v>
      </c>
    </row>
    <row r="186">
      <c r="A186" s="24" t="inlineStr">
        <is>
          <t>2026-01-11</t>
        </is>
      </c>
      <c r="B186" s="24" t="inlineStr">
        <is>
          <t>USB-C扩展坞</t>
        </is>
      </c>
      <c r="C186" s="24" t="inlineStr">
        <is>
          <t>华中</t>
        </is>
      </c>
      <c r="D186" s="24" t="inlineStr">
        <is>
          <t>拼多多</t>
        </is>
      </c>
      <c r="E186" s="24" t="inlineStr">
        <is>
          <t>VIP</t>
        </is>
      </c>
      <c r="F186" s="25" t="n">
        <v>137.99</v>
      </c>
      <c r="G186" s="26" t="n">
        <v>25</v>
      </c>
      <c r="H186" s="25" t="n">
        <v>3449.75</v>
      </c>
      <c r="I186" s="25" t="n">
        <v>1310.9</v>
      </c>
      <c r="J186" s="25" t="n">
        <v>2138.85</v>
      </c>
      <c r="K186" s="27" t="n">
        <v>0.6200014493803898</v>
      </c>
    </row>
    <row r="187">
      <c r="A187" s="19" t="inlineStr">
        <is>
          <t>2026-01-11</t>
        </is>
      </c>
      <c r="B187" s="19" t="inlineStr">
        <is>
          <t>智能手表</t>
        </is>
      </c>
      <c r="C187" s="19" t="inlineStr">
        <is>
          <t>西南</t>
        </is>
      </c>
      <c r="D187" s="19" t="inlineStr">
        <is>
          <t>抖音</t>
        </is>
      </c>
      <c r="E187" s="19" t="inlineStr">
        <is>
          <t>VIP</t>
        </is>
      </c>
      <c r="F187" s="28" t="n">
        <v>562.4</v>
      </c>
      <c r="G187" s="29" t="n">
        <v>6</v>
      </c>
      <c r="H187" s="28" t="n">
        <v>3374.4</v>
      </c>
      <c r="I187" s="28" t="n">
        <v>1349.76</v>
      </c>
      <c r="J187" s="28" t="n">
        <v>2024.64</v>
      </c>
      <c r="K187" s="22" t="n">
        <v>0.6</v>
      </c>
    </row>
    <row r="188">
      <c r="A188" s="24" t="inlineStr">
        <is>
          <t>2026-01-10</t>
        </is>
      </c>
      <c r="B188" s="24" t="inlineStr">
        <is>
          <t>USB-C扩展坞</t>
        </is>
      </c>
      <c r="C188" s="24" t="inlineStr">
        <is>
          <t>西南</t>
        </is>
      </c>
      <c r="D188" s="24" t="inlineStr">
        <is>
          <t>京东</t>
        </is>
      </c>
      <c r="E188" s="24" t="inlineStr">
        <is>
          <t>VIP</t>
        </is>
      </c>
      <c r="F188" s="25" t="n">
        <v>146.24</v>
      </c>
      <c r="G188" s="26" t="n">
        <v>50</v>
      </c>
      <c r="H188" s="25" t="n">
        <v>7312</v>
      </c>
      <c r="I188" s="25" t="n">
        <v>2778.56</v>
      </c>
      <c r="J188" s="25" t="n">
        <v>4533.44</v>
      </c>
      <c r="K188" s="27" t="n">
        <v>0.62</v>
      </c>
    </row>
    <row r="189">
      <c r="A189" s="19" t="inlineStr">
        <is>
          <t>2026-01-09</t>
        </is>
      </c>
      <c r="B189" s="19" t="inlineStr">
        <is>
          <t>机械键盘</t>
        </is>
      </c>
      <c r="C189" s="19" t="inlineStr">
        <is>
          <t>华中</t>
        </is>
      </c>
      <c r="D189" s="19" t="inlineStr">
        <is>
          <t>拼多多</t>
        </is>
      </c>
      <c r="E189" s="19" t="inlineStr">
        <is>
          <t>新客</t>
        </is>
      </c>
      <c r="F189" s="28" t="n">
        <v>234.68</v>
      </c>
      <c r="G189" s="29" t="n">
        <v>24</v>
      </c>
      <c r="H189" s="28" t="n">
        <v>5632.32</v>
      </c>
      <c r="I189" s="28" t="n">
        <v>2365.57</v>
      </c>
      <c r="J189" s="28" t="n">
        <v>3266.75</v>
      </c>
      <c r="K189" s="22" t="n">
        <v>0.5800007812056134</v>
      </c>
    </row>
    <row r="190">
      <c r="A190" s="24" t="inlineStr">
        <is>
          <t>2026-01-09</t>
        </is>
      </c>
      <c r="B190" s="24" t="inlineStr">
        <is>
          <t>USB-C扩展坞</t>
        </is>
      </c>
      <c r="C190" s="24" t="inlineStr">
        <is>
          <t>西南</t>
        </is>
      </c>
      <c r="D190" s="24" t="inlineStr">
        <is>
          <t>京东</t>
        </is>
      </c>
      <c r="E190" s="24" t="inlineStr">
        <is>
          <t>老客</t>
        </is>
      </c>
      <c r="F190" s="25" t="n">
        <v>136.87</v>
      </c>
      <c r="G190" s="26" t="n">
        <v>48</v>
      </c>
      <c r="H190" s="25" t="n">
        <v>6569.76</v>
      </c>
      <c r="I190" s="25" t="n">
        <v>2496.51</v>
      </c>
      <c r="J190" s="25" t="n">
        <v>4073.25</v>
      </c>
      <c r="K190" s="27" t="n">
        <v>0.6199998173449258</v>
      </c>
    </row>
    <row r="191">
      <c r="A191" s="19" t="inlineStr">
        <is>
          <t>2026-01-07</t>
        </is>
      </c>
      <c r="B191" s="19" t="inlineStr">
        <is>
          <t>无线蓝牙耳机</t>
        </is>
      </c>
      <c r="C191" s="19" t="inlineStr">
        <is>
          <t>华中</t>
        </is>
      </c>
      <c r="D191" s="19" t="inlineStr">
        <is>
          <t>京东</t>
        </is>
      </c>
      <c r="E191" s="19" t="inlineStr">
        <is>
          <t>老客</t>
        </is>
      </c>
      <c r="F191" s="28" t="n">
        <v>151.25</v>
      </c>
      <c r="G191" s="29" t="n">
        <v>44</v>
      </c>
      <c r="H191" s="28" t="n">
        <v>6655</v>
      </c>
      <c r="I191" s="28" t="n">
        <v>2994.75</v>
      </c>
      <c r="J191" s="28" t="n">
        <v>3660.25</v>
      </c>
      <c r="K191" s="22" t="n">
        <v>0.55</v>
      </c>
    </row>
    <row r="192">
      <c r="A192" s="14" t="inlineStr">
        <is>
          <t>2026-01-07</t>
        </is>
      </c>
      <c r="B192" s="14" t="inlineStr">
        <is>
          <t>机械键盘</t>
        </is>
      </c>
      <c r="C192" s="14" t="inlineStr">
        <is>
          <t>华东</t>
        </is>
      </c>
      <c r="D192" s="14" t="inlineStr">
        <is>
          <t>淘宝</t>
        </is>
      </c>
      <c r="E192" s="14" t="inlineStr">
        <is>
          <t>VIP</t>
        </is>
      </c>
      <c r="F192" s="30" t="n">
        <v>247.7</v>
      </c>
      <c r="G192" s="31" t="n">
        <v>49</v>
      </c>
      <c r="H192" s="30" t="n">
        <v>12137.3</v>
      </c>
      <c r="I192" s="30" t="n">
        <v>5097.67</v>
      </c>
      <c r="J192" s="30" t="n">
        <v>7039.63</v>
      </c>
      <c r="K192" s="17" t="n">
        <v>0.579999670437412</v>
      </c>
    </row>
    <row r="193">
      <c r="A193" s="19" t="inlineStr">
        <is>
          <t>2026-01-07</t>
        </is>
      </c>
      <c r="B193" s="19" t="inlineStr">
        <is>
          <t>无线蓝牙耳机</t>
        </is>
      </c>
      <c r="C193" s="19" t="inlineStr">
        <is>
          <t>华南</t>
        </is>
      </c>
      <c r="D193" s="19" t="inlineStr">
        <is>
          <t>淘宝</t>
        </is>
      </c>
      <c r="E193" s="19" t="inlineStr">
        <is>
          <t>VIP</t>
        </is>
      </c>
      <c r="F193" s="28" t="n">
        <v>152.47</v>
      </c>
      <c r="G193" s="29" t="n">
        <v>44</v>
      </c>
      <c r="H193" s="28" t="n">
        <v>6708.68</v>
      </c>
      <c r="I193" s="28" t="n">
        <v>3018.91</v>
      </c>
      <c r="J193" s="28" t="n">
        <v>3689.77</v>
      </c>
      <c r="K193" s="22" t="n">
        <v>0.5499994037575201</v>
      </c>
    </row>
    <row r="194">
      <c r="A194" s="24" t="inlineStr">
        <is>
          <t>2026-01-07</t>
        </is>
      </c>
      <c r="B194" s="24" t="inlineStr">
        <is>
          <t>USB-C扩展坞</t>
        </is>
      </c>
      <c r="C194" s="24" t="inlineStr">
        <is>
          <t>华东</t>
        </is>
      </c>
      <c r="D194" s="24" t="inlineStr">
        <is>
          <t>抖音</t>
        </is>
      </c>
      <c r="E194" s="24" t="inlineStr">
        <is>
          <t>老客</t>
        </is>
      </c>
      <c r="F194" s="25" t="n">
        <v>124.22</v>
      </c>
      <c r="G194" s="26" t="n">
        <v>47</v>
      </c>
      <c r="H194" s="25" t="n">
        <v>5838.34</v>
      </c>
      <c r="I194" s="25" t="n">
        <v>2218.57</v>
      </c>
      <c r="J194" s="25" t="n">
        <v>3619.77</v>
      </c>
      <c r="K194" s="27" t="n">
        <v>0.6199998629747496</v>
      </c>
    </row>
    <row r="195">
      <c r="A195" s="24" t="inlineStr">
        <is>
          <t>2026-01-06</t>
        </is>
      </c>
      <c r="B195" s="24" t="inlineStr">
        <is>
          <t>手机壳套装</t>
        </is>
      </c>
      <c r="C195" s="24" t="inlineStr">
        <is>
          <t>华北</t>
        </is>
      </c>
      <c r="D195" s="24" t="inlineStr">
        <is>
          <t>抖音</t>
        </is>
      </c>
      <c r="E195" s="24" t="inlineStr">
        <is>
          <t>老客</t>
        </is>
      </c>
      <c r="F195" s="25" t="n">
        <v>40.98</v>
      </c>
      <c r="G195" s="26" t="n">
        <v>2</v>
      </c>
      <c r="H195" s="25" t="n">
        <v>81.95999999999999</v>
      </c>
      <c r="I195" s="25" t="n">
        <v>24.59</v>
      </c>
      <c r="J195" s="25" t="n">
        <v>57.37</v>
      </c>
      <c r="K195" s="27" t="n">
        <v>0.6999755978526111</v>
      </c>
    </row>
    <row r="196">
      <c r="A196" s="14" t="inlineStr">
        <is>
          <t>2026-01-06</t>
        </is>
      </c>
      <c r="B196" s="14" t="inlineStr">
        <is>
          <t>无线蓝牙耳机</t>
        </is>
      </c>
      <c r="C196" s="14" t="inlineStr">
        <is>
          <t>华东</t>
        </is>
      </c>
      <c r="D196" s="14" t="inlineStr">
        <is>
          <t>拼多多</t>
        </is>
      </c>
      <c r="E196" s="14" t="inlineStr">
        <is>
          <t>新客</t>
        </is>
      </c>
      <c r="F196" s="30" t="n">
        <v>158.77</v>
      </c>
      <c r="G196" s="31" t="n">
        <v>18</v>
      </c>
      <c r="H196" s="30" t="n">
        <v>2857.86</v>
      </c>
      <c r="I196" s="30" t="n">
        <v>1286.04</v>
      </c>
      <c r="J196" s="30" t="n">
        <v>1571.82</v>
      </c>
      <c r="K196" s="17" t="n">
        <v>0.5499989502634838</v>
      </c>
    </row>
    <row r="197">
      <c r="A197" s="19" t="inlineStr">
        <is>
          <t>2026-01-06</t>
        </is>
      </c>
      <c r="B197" s="19" t="inlineStr">
        <is>
          <t>机械键盘</t>
        </is>
      </c>
      <c r="C197" s="19" t="inlineStr">
        <is>
          <t>华中</t>
        </is>
      </c>
      <c r="D197" s="19" t="inlineStr">
        <is>
          <t>抖音</t>
        </is>
      </c>
      <c r="E197" s="19" t="inlineStr">
        <is>
          <t>老客</t>
        </is>
      </c>
      <c r="F197" s="28" t="n">
        <v>198.24</v>
      </c>
      <c r="G197" s="29" t="n">
        <v>39</v>
      </c>
      <c r="H197" s="28" t="n">
        <v>7731.36</v>
      </c>
      <c r="I197" s="28" t="n">
        <v>3247.17</v>
      </c>
      <c r="J197" s="28" t="n">
        <v>4484.19</v>
      </c>
      <c r="K197" s="22" t="n">
        <v>0.5800001552120196</v>
      </c>
    </row>
    <row r="198">
      <c r="A198" s="24" t="inlineStr">
        <is>
          <t>2026-01-05</t>
        </is>
      </c>
      <c r="B198" s="24" t="inlineStr">
        <is>
          <t>USB-C扩展坞</t>
        </is>
      </c>
      <c r="C198" s="24" t="inlineStr">
        <is>
          <t>华北</t>
        </is>
      </c>
      <c r="D198" s="24" t="inlineStr">
        <is>
          <t>淘宝</t>
        </is>
      </c>
      <c r="E198" s="24" t="inlineStr">
        <is>
          <t>老客</t>
        </is>
      </c>
      <c r="F198" s="25" t="n">
        <v>182.3</v>
      </c>
      <c r="G198" s="26" t="n">
        <v>18</v>
      </c>
      <c r="H198" s="25" t="n">
        <v>3281.4</v>
      </c>
      <c r="I198" s="25" t="n">
        <v>1246.93</v>
      </c>
      <c r="J198" s="25" t="n">
        <v>2034.47</v>
      </c>
      <c r="K198" s="27" t="n">
        <v>0.6200006094959468</v>
      </c>
    </row>
    <row r="199">
      <c r="A199" s="24" t="inlineStr">
        <is>
          <t>2026-01-05</t>
        </is>
      </c>
      <c r="B199" s="24" t="inlineStr">
        <is>
          <t>手机壳套装</t>
        </is>
      </c>
      <c r="C199" s="24" t="inlineStr">
        <is>
          <t>华中</t>
        </is>
      </c>
      <c r="D199" s="24" t="inlineStr">
        <is>
          <t>拼多多</t>
        </is>
      </c>
      <c r="E199" s="24" t="inlineStr">
        <is>
          <t>VIP</t>
        </is>
      </c>
      <c r="F199" s="25" t="n">
        <v>30.58</v>
      </c>
      <c r="G199" s="26" t="n">
        <v>29</v>
      </c>
      <c r="H199" s="25" t="n">
        <v>886.8200000000001</v>
      </c>
      <c r="I199" s="25" t="n">
        <v>266.05</v>
      </c>
      <c r="J199" s="25" t="n">
        <v>620.77</v>
      </c>
      <c r="K199" s="27" t="n">
        <v>0.6999954895018154</v>
      </c>
    </row>
    <row r="200">
      <c r="A200" s="24" t="inlineStr">
        <is>
          <t>2026-01-05</t>
        </is>
      </c>
      <c r="B200" s="24" t="inlineStr">
        <is>
          <t>手机壳套装</t>
        </is>
      </c>
      <c r="C200" s="24" t="inlineStr">
        <is>
          <t>华南</t>
        </is>
      </c>
      <c r="D200" s="24" t="inlineStr">
        <is>
          <t>私域</t>
        </is>
      </c>
      <c r="E200" s="24" t="inlineStr">
        <is>
          <t>VIP</t>
        </is>
      </c>
      <c r="F200" s="25" t="n">
        <v>68.23</v>
      </c>
      <c r="G200" s="26" t="n">
        <v>32</v>
      </c>
      <c r="H200" s="25" t="n">
        <v>2183.36</v>
      </c>
      <c r="I200" s="25" t="n">
        <v>655.01</v>
      </c>
      <c r="J200" s="25" t="n">
        <v>1528.35</v>
      </c>
      <c r="K200" s="27" t="n">
        <v>0.6999990839806536</v>
      </c>
    </row>
    <row r="201">
      <c r="A201" s="19" t="inlineStr">
        <is>
          <t>2026-01-04</t>
        </is>
      </c>
      <c r="B201" s="19" t="inlineStr">
        <is>
          <t>智能手表</t>
        </is>
      </c>
      <c r="C201" s="19" t="inlineStr">
        <is>
          <t>西南</t>
        </is>
      </c>
      <c r="D201" s="19" t="inlineStr">
        <is>
          <t>私域</t>
        </is>
      </c>
      <c r="E201" s="19" t="inlineStr">
        <is>
          <t>VIP</t>
        </is>
      </c>
      <c r="F201" s="28" t="n">
        <v>593.22</v>
      </c>
      <c r="G201" s="29" t="n">
        <v>35</v>
      </c>
      <c r="H201" s="28" t="n">
        <v>20762.7</v>
      </c>
      <c r="I201" s="28" t="n">
        <v>8305.08</v>
      </c>
      <c r="J201" s="28" t="n">
        <v>12457.62</v>
      </c>
      <c r="K201" s="22" t="n">
        <v>0.6</v>
      </c>
    </row>
    <row r="202">
      <c r="A202" s="14" t="inlineStr">
        <is>
          <t>2026-01-02</t>
        </is>
      </c>
      <c r="B202" s="14" t="inlineStr">
        <is>
          <t>便携充电宝</t>
        </is>
      </c>
      <c r="C202" s="14" t="inlineStr">
        <is>
          <t>西南</t>
        </is>
      </c>
      <c r="D202" s="14" t="inlineStr">
        <is>
          <t>私域</t>
        </is>
      </c>
      <c r="E202" s="14" t="inlineStr">
        <is>
          <t>VIP</t>
        </is>
      </c>
      <c r="F202" s="30" t="n">
        <v>123.32</v>
      </c>
      <c r="G202" s="31" t="n">
        <v>5</v>
      </c>
      <c r="H202" s="30" t="n">
        <v>616.6</v>
      </c>
      <c r="I202" s="30" t="n">
        <v>308.3</v>
      </c>
      <c r="J202" s="30" t="n">
        <v>308.3</v>
      </c>
      <c r="K202" s="17" t="n">
        <v>0.5</v>
      </c>
    </row>
    <row r="203">
      <c r="A203" s="19" t="inlineStr">
        <is>
          <t>2026-01-01</t>
        </is>
      </c>
      <c r="B203" s="19" t="inlineStr">
        <is>
          <t>机械键盘</t>
        </is>
      </c>
      <c r="C203" s="19" t="inlineStr">
        <is>
          <t>华北</t>
        </is>
      </c>
      <c r="D203" s="19" t="inlineStr">
        <is>
          <t>拼多多</t>
        </is>
      </c>
      <c r="E203" s="19" t="inlineStr">
        <is>
          <t>新客</t>
        </is>
      </c>
      <c r="F203" s="28" t="n">
        <v>209.19</v>
      </c>
      <c r="G203" s="29" t="n">
        <v>36</v>
      </c>
      <c r="H203" s="28" t="n">
        <v>7530.84</v>
      </c>
      <c r="I203" s="28" t="n">
        <v>3162.95</v>
      </c>
      <c r="J203" s="28" t="n">
        <v>4367.89</v>
      </c>
      <c r="K203" s="22" t="n">
        <v>0.5800003718044734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803D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>
      <c r="A1" s="23" t="inlineStr">
        <is>
          <t>区域销售分析</t>
        </is>
      </c>
    </row>
    <row r="3">
      <c r="A3" s="13" t="inlineStr">
        <is>
          <t>区域</t>
        </is>
      </c>
      <c r="B3" s="13" t="inlineStr">
        <is>
          <t>销售额</t>
        </is>
      </c>
      <c r="C3" s="13" t="inlineStr">
        <is>
          <t>利润</t>
        </is>
      </c>
      <c r="D3" s="13" t="inlineStr">
        <is>
          <t>订单数</t>
        </is>
      </c>
      <c r="E3" s="13" t="inlineStr">
        <is>
          <t>客单价</t>
        </is>
      </c>
      <c r="F3" s="13" t="inlineStr">
        <is>
          <t>利润率</t>
        </is>
      </c>
      <c r="G3" s="13" t="inlineStr">
        <is>
          <t>占比</t>
        </is>
      </c>
    </row>
    <row r="4">
      <c r="A4" s="24" t="inlineStr">
        <is>
          <t>华东</t>
        </is>
      </c>
      <c r="B4" s="25" t="n">
        <v>218442.87</v>
      </c>
      <c r="C4" s="25" t="n">
        <v>129651.73</v>
      </c>
      <c r="D4" s="26" t="n">
        <v>49</v>
      </c>
      <c r="E4" s="25" t="n">
        <v>4458.017755102041</v>
      </c>
      <c r="F4" s="27" t="n">
        <v>0.5935269482588285</v>
      </c>
      <c r="G4" s="27" t="n">
        <v>0.2439677548199611</v>
      </c>
    </row>
    <row r="5">
      <c r="A5" s="19" t="inlineStr">
        <is>
          <t>华中</t>
        </is>
      </c>
      <c r="B5" s="28" t="n">
        <v>150225.15</v>
      </c>
      <c r="C5" s="28" t="n">
        <v>85344.66</v>
      </c>
      <c r="D5" s="29" t="n">
        <v>35</v>
      </c>
      <c r="E5" s="28" t="n">
        <v>4292.147142857143</v>
      </c>
      <c r="F5" s="22" t="n">
        <v>0.568111664391748</v>
      </c>
      <c r="G5" s="22" t="n">
        <v>0.1677788456221614</v>
      </c>
    </row>
    <row r="6">
      <c r="A6" s="14" t="inlineStr">
        <is>
          <t>华北</t>
        </is>
      </c>
      <c r="B6" s="30" t="n">
        <v>177495.18</v>
      </c>
      <c r="C6" s="30" t="n">
        <v>104748.53</v>
      </c>
      <c r="D6" s="31" t="n">
        <v>37</v>
      </c>
      <c r="E6" s="30" t="n">
        <v>4797.167027027027</v>
      </c>
      <c r="F6" s="17" t="n">
        <v>0.5901485888236514</v>
      </c>
      <c r="G6" s="17" t="n">
        <v>0.1982353580868301</v>
      </c>
    </row>
    <row r="7">
      <c r="A7" s="19" t="inlineStr">
        <is>
          <t>华南</t>
        </is>
      </c>
      <c r="B7" s="28" t="n">
        <v>167057.52</v>
      </c>
      <c r="C7" s="28" t="n">
        <v>99389.96000000001</v>
      </c>
      <c r="D7" s="29" t="n">
        <v>35</v>
      </c>
      <c r="E7" s="28" t="n">
        <v>4773.072</v>
      </c>
      <c r="F7" s="22" t="n">
        <v>0.5949445436517914</v>
      </c>
      <c r="G7" s="22" t="n">
        <v>0.1865780653778755</v>
      </c>
    </row>
    <row r="8">
      <c r="A8" s="14" t="inlineStr">
        <is>
          <t>西南</t>
        </is>
      </c>
      <c r="B8" s="30" t="n">
        <v>182155.27</v>
      </c>
      <c r="C8" s="30" t="n">
        <v>107378.32</v>
      </c>
      <c r="D8" s="31" t="n">
        <v>44</v>
      </c>
      <c r="E8" s="30" t="n">
        <v>4139.8925</v>
      </c>
      <c r="F8" s="17" t="n">
        <v>0.5894878583529316</v>
      </c>
      <c r="G8" s="17" t="n">
        <v>0.2034399760931717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ADE8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>
      <c r="A1" s="23" t="inlineStr">
        <is>
          <t>产品销售分析</t>
        </is>
      </c>
    </row>
    <row r="3">
      <c r="A3" s="13" t="inlineStr">
        <is>
          <t>产品</t>
        </is>
      </c>
      <c r="B3" s="13" t="inlineStr">
        <is>
          <t>销售额</t>
        </is>
      </c>
      <c r="C3" s="13" t="inlineStr">
        <is>
          <t>利润</t>
        </is>
      </c>
      <c r="D3" s="13" t="inlineStr">
        <is>
          <t>订单数</t>
        </is>
      </c>
      <c r="E3" s="13" t="inlineStr">
        <is>
          <t>平均单价</t>
        </is>
      </c>
      <c r="F3" s="13" t="inlineStr">
        <is>
          <t>利润率</t>
        </is>
      </c>
      <c r="G3" s="13" t="inlineStr">
        <is>
          <t>排名</t>
        </is>
      </c>
    </row>
    <row r="4">
      <c r="A4" s="24" t="inlineStr">
        <is>
          <t>USB-C扩展坞</t>
        </is>
      </c>
      <c r="B4" s="25" t="n">
        <v>132358.74</v>
      </c>
      <c r="C4" s="25" t="n">
        <v>82062.41</v>
      </c>
      <c r="D4" s="26" t="n">
        <v>37</v>
      </c>
      <c r="E4" s="25" t="n">
        <v>132.7367567567568</v>
      </c>
      <c r="F4" s="27" t="n">
        <v>0.6199999335140242</v>
      </c>
      <c r="G4" s="24" t="inlineStr">
        <is>
          <t>#1</t>
        </is>
      </c>
    </row>
    <row r="5">
      <c r="A5" s="19" t="inlineStr">
        <is>
          <t>便携充电宝</t>
        </is>
      </c>
      <c r="B5" s="28" t="n">
        <v>92293.74000000001</v>
      </c>
      <c r="C5" s="28" t="n">
        <v>46146.87</v>
      </c>
      <c r="D5" s="29" t="n">
        <v>33</v>
      </c>
      <c r="E5" s="28" t="n">
        <v>99.20333333333333</v>
      </c>
      <c r="F5" s="22" t="n">
        <v>0.5</v>
      </c>
      <c r="G5" s="19" t="inlineStr">
        <is>
          <t>#2</t>
        </is>
      </c>
    </row>
    <row r="6">
      <c r="A6" s="14" t="inlineStr">
        <is>
          <t>手机壳套装</t>
        </is>
      </c>
      <c r="B6" s="30" t="n">
        <v>49799.41</v>
      </c>
      <c r="C6" s="30" t="n">
        <v>34859.58</v>
      </c>
      <c r="D6" s="31" t="n">
        <v>40</v>
      </c>
      <c r="E6" s="30" t="n">
        <v>47.7515</v>
      </c>
      <c r="F6" s="17" t="n">
        <v>0.6999998594360857</v>
      </c>
      <c r="G6" s="14" t="inlineStr">
        <is>
          <t>#3</t>
        </is>
      </c>
    </row>
    <row r="7">
      <c r="A7" s="19" t="inlineStr">
        <is>
          <t>无线蓝牙耳机</t>
        </is>
      </c>
      <c r="B7" s="28" t="n">
        <v>99403.37</v>
      </c>
      <c r="C7" s="28" t="n">
        <v>54671.84</v>
      </c>
      <c r="D7" s="29" t="n">
        <v>32</v>
      </c>
      <c r="E7" s="28" t="n">
        <v>145.9971875</v>
      </c>
      <c r="F7" s="22" t="n">
        <v>0.5499998641897151</v>
      </c>
      <c r="G7" s="19" t="inlineStr">
        <is>
          <t>#4</t>
        </is>
      </c>
    </row>
    <row r="8">
      <c r="A8" s="14" t="inlineStr">
        <is>
          <t>智能手表</t>
        </is>
      </c>
      <c r="B8" s="30" t="n">
        <v>314522.79</v>
      </c>
      <c r="C8" s="30" t="n">
        <v>188713.69</v>
      </c>
      <c r="D8" s="31" t="n">
        <v>28</v>
      </c>
      <c r="E8" s="30" t="n">
        <v>445.4639285714285</v>
      </c>
      <c r="F8" s="17" t="n">
        <v>0.6000000508707175</v>
      </c>
      <c r="G8" s="14" t="inlineStr">
        <is>
          <t>#5</t>
        </is>
      </c>
    </row>
    <row r="9">
      <c r="A9" s="19" t="inlineStr">
        <is>
          <t>机械键盘</t>
        </is>
      </c>
      <c r="B9" s="28" t="n">
        <v>206997.94</v>
      </c>
      <c r="C9" s="28" t="n">
        <v>120058.81</v>
      </c>
      <c r="D9" s="29" t="n">
        <v>30</v>
      </c>
      <c r="E9" s="28" t="n">
        <v>237.6806666666667</v>
      </c>
      <c r="F9" s="22" t="n">
        <v>0.5800000231886365</v>
      </c>
      <c r="G9" s="19" t="inlineStr">
        <is>
          <t>#6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2C55E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23" t="inlineStr">
        <is>
          <t>渠道销售分析</t>
        </is>
      </c>
    </row>
    <row r="3">
      <c r="A3" s="13" t="inlineStr">
        <is>
          <t>渠道</t>
        </is>
      </c>
      <c r="B3" s="13" t="inlineStr">
        <is>
          <t>销售额</t>
        </is>
      </c>
      <c r="C3" s="13" t="inlineStr">
        <is>
          <t>利润</t>
        </is>
      </c>
      <c r="D3" s="13" t="inlineStr">
        <is>
          <t>订单数</t>
        </is>
      </c>
      <c r="E3" s="13" t="inlineStr">
        <is>
          <t>客单价</t>
        </is>
      </c>
      <c r="F3" s="13" t="inlineStr">
        <is>
          <t>利润率</t>
        </is>
      </c>
      <c r="G3" s="13" t="inlineStr">
        <is>
          <t>占比</t>
        </is>
      </c>
    </row>
    <row r="4">
      <c r="A4" s="24" t="inlineStr">
        <is>
          <t>京东</t>
        </is>
      </c>
      <c r="B4" s="25" t="n">
        <v>174636.47</v>
      </c>
      <c r="C4" s="25" t="n">
        <v>102018.7</v>
      </c>
      <c r="D4" s="26" t="n">
        <v>47</v>
      </c>
      <c r="E4" s="25" t="n">
        <v>3715.669574468085</v>
      </c>
      <c r="F4" s="27" t="n">
        <v>0.5841775203083296</v>
      </c>
      <c r="G4" s="27" t="n">
        <v>0.19504260997662</v>
      </c>
    </row>
    <row r="5">
      <c r="A5" s="19" t="inlineStr">
        <is>
          <t>抖音</t>
        </is>
      </c>
      <c r="B5" s="28" t="n">
        <v>170946.83</v>
      </c>
      <c r="C5" s="28" t="n">
        <v>100079.59</v>
      </c>
      <c r="D5" s="29" t="n">
        <v>42</v>
      </c>
      <c r="E5" s="28" t="n">
        <v>4070.162619047619</v>
      </c>
      <c r="F5" s="22" t="n">
        <v>0.5854427952831883</v>
      </c>
      <c r="G5" s="22" t="n">
        <v>0.1909218383217982</v>
      </c>
    </row>
    <row r="6">
      <c r="A6" s="14" t="inlineStr">
        <is>
          <t>拼多多</t>
        </is>
      </c>
      <c r="B6" s="30" t="n">
        <v>182032.88</v>
      </c>
      <c r="C6" s="30" t="n">
        <v>107031.83</v>
      </c>
      <c r="D6" s="31" t="n">
        <v>37</v>
      </c>
      <c r="E6" s="30" t="n">
        <v>4919.807567567567</v>
      </c>
      <c r="F6" s="17" t="n">
        <v>0.5879807538066749</v>
      </c>
      <c r="G6" s="17" t="n">
        <v>0.2033032849138606</v>
      </c>
    </row>
    <row r="7">
      <c r="A7" s="19" t="inlineStr">
        <is>
          <t>淘宝</t>
        </is>
      </c>
      <c r="B7" s="28" t="n">
        <v>157723.77</v>
      </c>
      <c r="C7" s="28" t="n">
        <v>92021.10000000001</v>
      </c>
      <c r="D7" s="29" t="n">
        <v>37</v>
      </c>
      <c r="E7" s="28" t="n">
        <v>4262.804594594594</v>
      </c>
      <c r="F7" s="22" t="n">
        <v>0.5834320343724982</v>
      </c>
      <c r="G7" s="22" t="n">
        <v>0.1761536737209136</v>
      </c>
    </row>
    <row r="8">
      <c r="A8" s="14" t="inlineStr">
        <is>
          <t>私域</t>
        </is>
      </c>
      <c r="B8" s="30" t="n">
        <v>210036.04</v>
      </c>
      <c r="C8" s="30" t="n">
        <v>125361.98</v>
      </c>
      <c r="D8" s="31" t="n">
        <v>37</v>
      </c>
      <c r="E8" s="30" t="n">
        <v>5676.64972972973</v>
      </c>
      <c r="F8" s="17" t="n">
        <v>0.5968593770859515</v>
      </c>
      <c r="G8" s="17" t="n">
        <v>0.2345785930668076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2026-04-25T19:08:12Z</dcterms:created>
  <dcterms:modified xsi:type="dcterms:W3CDTF">2026-04-25T19:08:12Z</dcterms:modified>
</cp:coreProperties>
</file>